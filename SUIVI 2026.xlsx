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fiduciaire69100.sharepoint.com/sites/GroupeFi/Documents partages/"/>
    </mc:Choice>
  </mc:AlternateContent>
  <xr:revisionPtr revIDLastSave="0" documentId="8_{9542A313-9EB7-44A6-8E89-0EC43A450E15}" xr6:coauthVersionLast="47" xr6:coauthVersionMax="47" xr10:uidLastSave="{00000000-0000-0000-0000-000000000000}"/>
  <bookViews>
    <workbookView xWindow="28680" yWindow="-90" windowWidth="29040" windowHeight="17520" xr2:uid="{00000000-000D-0000-FFFF-FFFF00000000}"/>
  </bookViews>
  <sheets>
    <sheet name="Suivi Dossier" sheetId="1" r:id="rId1"/>
    <sheet name="Feuil2" sheetId="4" r:id="rId2"/>
    <sheet name="Feuil1" sheetId="3" r:id="rId3"/>
    <sheet name="Paramétrage fichier" sheetId="2" r:id="rId4"/>
  </sheets>
  <definedNames>
    <definedName name="_xlnm._FilterDatabase" localSheetId="0" hidden="1">'Suivi Dossier'!$A$5:$BA$176</definedName>
    <definedName name="_xlnm.Print_Area" localSheetId="0">'Suivi Dossier'!$A$1:$O$162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20" i="1"/>
  <c r="P80" i="1"/>
  <c r="G96" i="1"/>
  <c r="G99" i="1"/>
  <c r="G102" i="1"/>
  <c r="G104" i="1"/>
  <c r="G107" i="1"/>
  <c r="G108" i="1"/>
  <c r="G111" i="1"/>
  <c r="G113" i="1"/>
  <c r="G119" i="1"/>
  <c r="G120" i="1"/>
  <c r="G121" i="1"/>
  <c r="G122" i="1"/>
  <c r="G126" i="1"/>
  <c r="G148" i="1"/>
  <c r="G127" i="1"/>
  <c r="G128" i="1"/>
  <c r="G129" i="1"/>
  <c r="G130" i="1"/>
  <c r="G131" i="1"/>
  <c r="G133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9" i="1"/>
  <c r="G155" i="1"/>
  <c r="G158" i="1"/>
  <c r="G159" i="1"/>
  <c r="G161" i="1"/>
  <c r="G160" i="1"/>
  <c r="G164" i="1"/>
  <c r="G166" i="1"/>
  <c r="G168" i="1"/>
  <c r="G169" i="1"/>
  <c r="G170" i="1"/>
  <c r="G171" i="1"/>
  <c r="G174" i="1"/>
  <c r="G98" i="1"/>
  <c r="G59" i="1"/>
  <c r="G62" i="1"/>
  <c r="G67" i="1"/>
  <c r="G69" i="1"/>
  <c r="G68" i="1"/>
  <c r="G70" i="1"/>
  <c r="G132" i="1"/>
  <c r="G74" i="1"/>
  <c r="G76" i="1"/>
  <c r="G81" i="1"/>
  <c r="G83" i="1"/>
  <c r="G84" i="1"/>
  <c r="G85" i="1"/>
  <c r="G86" i="1"/>
  <c r="G88" i="1"/>
  <c r="G89" i="1"/>
  <c r="G90" i="1"/>
  <c r="G91" i="1"/>
  <c r="G92" i="1"/>
  <c r="G38" i="1"/>
  <c r="G40" i="1"/>
  <c r="G41" i="1"/>
  <c r="G47" i="1"/>
  <c r="G48" i="1"/>
  <c r="G50" i="1"/>
  <c r="G52" i="1"/>
  <c r="G53" i="1"/>
  <c r="G55" i="1"/>
  <c r="G57" i="1"/>
  <c r="G31" i="1"/>
  <c r="G61" i="1"/>
  <c r="G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Souhila Touchene</author>
    <author>tc={F7FE48B1-9026-4C72-BF0E-180D7B86E667}</author>
  </authors>
  <commentList>
    <comment ref="AN5" authorId="0" shapeId="0" xr:uid="{088401E7-587C-4531-9745-251BC3657B97}">
      <text>
        <r>
          <rPr>
            <sz val="11"/>
            <color theme="1"/>
            <rFont val="Aptos Narrow"/>
            <family val="2"/>
            <scheme val="minor"/>
          </rPr>
          <t>Souhila Touchene:
PE = Prlvt à Echéance
PM = Prlvt Mensuel
PH = Pas d'Habilitation</t>
        </r>
      </text>
    </comment>
    <comment ref="AP25" authorId="1" shapeId="0" xr:uid="{F7FE48B1-9026-4C72-BF0E-180D7B86E6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Acquisition véhciule sur 2025</t>
      </text>
    </comment>
    <comment ref="AF87" authorId="0" shapeId="0" xr:uid="{08717978-4697-4BAA-B2CB-B86B0B6254CA}">
      <text>
        <r>
          <rPr>
            <sz val="11"/>
            <color theme="1"/>
            <rFont val="Aptos Narrow"/>
            <family val="2"/>
            <scheme val="minor"/>
          </rPr>
          <t>Souhila Touchene:
RETARD, impression AR mais pas cliqué sur continuer. 
Refait le 25 avec crédit tva</t>
        </r>
      </text>
    </comment>
  </commentList>
</comments>
</file>

<file path=xl/sharedStrings.xml><?xml version="1.0" encoding="utf-8"?>
<sst xmlns="http://schemas.openxmlformats.org/spreadsheetml/2006/main" count="2465" uniqueCount="490">
  <si>
    <t>Suivi Liasse Fiscale 12/2025 et MM/26 hors 12/26</t>
  </si>
  <si>
    <t>Suivi TVA 2026</t>
  </si>
  <si>
    <t>Taxes diverses</t>
  </si>
  <si>
    <t>Acompte IS</t>
  </si>
  <si>
    <t>CVAE</t>
  </si>
  <si>
    <t>DIV</t>
  </si>
  <si>
    <t>Cabinet</t>
  </si>
  <si>
    <t>Nom du Collaborateur 1</t>
  </si>
  <si>
    <t>Nom du Collaborateur 2</t>
  </si>
  <si>
    <t>Nom du dossier</t>
  </si>
  <si>
    <t>Activités</t>
  </si>
  <si>
    <t>Nom contact</t>
  </si>
  <si>
    <t>MAIL CONTACT</t>
  </si>
  <si>
    <t>Téléphone</t>
  </si>
  <si>
    <t>logiciel</t>
  </si>
  <si>
    <t>Commentaire</t>
  </si>
  <si>
    <t>Révision ou Saisie</t>
  </si>
  <si>
    <t>Forme</t>
  </si>
  <si>
    <t>Régime ( IR/IS)</t>
  </si>
  <si>
    <t>SIREN</t>
  </si>
  <si>
    <t>Date de Cloture</t>
  </si>
  <si>
    <t>Date prev arreté bilan</t>
  </si>
  <si>
    <t>COMM BILAN EN COURS</t>
  </si>
  <si>
    <t xml:space="preserve">Date arrêté bilan
</t>
  </si>
  <si>
    <t xml:space="preserve">Signature Associé 
</t>
  </si>
  <si>
    <t xml:space="preserve">Télédéclaration 
</t>
  </si>
  <si>
    <t xml:space="preserve">2572
</t>
  </si>
  <si>
    <t>Das 2</t>
  </si>
  <si>
    <t>verif JDC</t>
  </si>
  <si>
    <t>AGO</t>
  </si>
  <si>
    <t>Régime de TVA</t>
  </si>
  <si>
    <t>Date limite de TVA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</si>
  <si>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</si>
  <si>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</si>
  <si>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</si>
  <si>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</si>
  <si>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</si>
  <si>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</si>
  <si>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</si>
  <si>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</si>
  <si>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</si>
  <si>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</si>
  <si>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</si>
  <si>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</si>
  <si>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TF              -</t>
  </si>
  <si>
    <t>CFE                -</t>
  </si>
  <si>
    <t>CVAE                -</t>
  </si>
  <si>
    <t>TVS                -</t>
  </si>
  <si>
    <t>Taxe Foncière</t>
  </si>
  <si>
    <t>acpt is 1</t>
  </si>
  <si>
    <t>acpt is 2</t>
  </si>
  <si>
    <t>Acpt IS 3</t>
  </si>
  <si>
    <t>Acpt IS 4</t>
  </si>
  <si>
    <t>Solde IS</t>
  </si>
  <si>
    <t>Acompte IS  N+1</t>
  </si>
  <si>
    <t>Acompte CVAE 06</t>
  </si>
  <si>
    <t>Acompte CVAE 09</t>
  </si>
  <si>
    <t>Solde CVAE</t>
  </si>
  <si>
    <t>Fiduciaire</t>
  </si>
  <si>
    <t>Kadija</t>
  </si>
  <si>
    <t>-</t>
  </si>
  <si>
    <t>3KT</t>
  </si>
  <si>
    <t>3ktaxi@gmail.com</t>
  </si>
  <si>
    <t>ACD</t>
  </si>
  <si>
    <t>Saisie</t>
  </si>
  <si>
    <t>SAS</t>
  </si>
  <si>
    <t xml:space="preserve">IS </t>
  </si>
  <si>
    <t>RT</t>
  </si>
  <si>
    <t>Souhila</t>
  </si>
  <si>
    <t xml:space="preserve">A.B SERVICE </t>
  </si>
  <si>
    <t>abservices.lyon@gmail.com</t>
  </si>
  <si>
    <t>ST</t>
  </si>
  <si>
    <t>A.K ETUDES &amp; EXPERTS</t>
  </si>
  <si>
    <t>direction.aketude@gmail.com</t>
  </si>
  <si>
    <t>Pennylane</t>
  </si>
  <si>
    <t>Saisie mensuelle</t>
  </si>
  <si>
    <t>IR</t>
  </si>
  <si>
    <t>RM</t>
  </si>
  <si>
    <t>x</t>
  </si>
  <si>
    <t>PE</t>
  </si>
  <si>
    <t xml:space="preserve">AB FIBRES </t>
  </si>
  <si>
    <t>azzedi2003@hotmail.com</t>
  </si>
  <si>
    <t>SARL</t>
  </si>
  <si>
    <t>AB FOOD</t>
  </si>
  <si>
    <t xml:space="preserve">Finatec </t>
  </si>
  <si>
    <t>Quentin</t>
  </si>
  <si>
    <t xml:space="preserve">ACLAF </t>
  </si>
  <si>
    <t>Bureau d'etude</t>
  </si>
  <si>
    <t>aclaf@orange.fr</t>
  </si>
  <si>
    <t xml:space="preserve">Envoie les éléments par mail pour le moment. A mettre en place avec lui l'accès pennylane. C'est le client qui déclare et paie la TVA. Il faut juste la lui préparer. </t>
  </si>
  <si>
    <t>&lt;3000€</t>
  </si>
  <si>
    <t xml:space="preserve">AD MY SPORTS </t>
  </si>
  <si>
    <t>Publicité</t>
  </si>
  <si>
    <t>christophe@dailyfresh-media.com</t>
  </si>
  <si>
    <t>Cassandre</t>
  </si>
  <si>
    <t>Shaïnas</t>
  </si>
  <si>
    <t xml:space="preserve">ADIMO </t>
  </si>
  <si>
    <t>Location logement</t>
  </si>
  <si>
    <t>Pierre-Alexandre Deloin</t>
  </si>
  <si>
    <t>pa.deloin@albert-deloin.fr</t>
  </si>
  <si>
    <t>Attente fact ventes pour terminer bilan</t>
  </si>
  <si>
    <t>Révision</t>
  </si>
  <si>
    <t>SCI</t>
  </si>
  <si>
    <t xml:space="preserve">AFFICHE </t>
  </si>
  <si>
    <t>pierre.senanedj@gmail.com</t>
  </si>
  <si>
    <t>Sage</t>
  </si>
  <si>
    <t>FAIT PAR CLIENT</t>
  </si>
  <si>
    <t>CLT A PREV</t>
  </si>
  <si>
    <t>PH</t>
  </si>
  <si>
    <t xml:space="preserve">AFFRETEMENT TRANSPORTS ET DISTRIBUTION </t>
  </si>
  <si>
    <t>groupes.atd@gmail.com</t>
  </si>
  <si>
    <t>Envoi en Octobre toute la comptabilité en FEC  Et pour les TVA elle nous l'envoi</t>
  </si>
  <si>
    <t>X</t>
  </si>
  <si>
    <t>AEF Avenir Energie France</t>
  </si>
  <si>
    <t>02/12/2024 : Mail Maurice saisie +PES</t>
  </si>
  <si>
    <t xml:space="preserve">AKYOL </t>
  </si>
  <si>
    <t>akyol.equipement@outlook.fr</t>
  </si>
  <si>
    <t>mail SIE - Acpte juillet 2024 - 16/10/2024</t>
  </si>
  <si>
    <t>ALEX LUSS STUDIO</t>
  </si>
  <si>
    <t>06 51 28 41 79</t>
  </si>
  <si>
    <t>EURL</t>
  </si>
  <si>
    <t xml:space="preserve">31/01/2026 Cessation </t>
  </si>
  <si>
    <t>ALLYMPIC</t>
  </si>
  <si>
    <t>AMBULANCES TASSINOISES</t>
  </si>
  <si>
    <t>amb.tassinoises.giraud@wanadoo.fr</t>
  </si>
  <si>
    <t>AMSV</t>
  </si>
  <si>
    <t>Metallurgie</t>
  </si>
  <si>
    <t>Objectif saisir par Maurice,  Pour le moment serveur local elodie pose les factures, Envoyer plaquette au CAC le 15/01 + liquider IS</t>
  </si>
  <si>
    <t>AMBRE DOREE</t>
  </si>
  <si>
    <t>Ibtissem et Hanane Boudraa</t>
  </si>
  <si>
    <t>ambre_dore@yahoo.fr</t>
  </si>
  <si>
    <t>06 68 95 35 35</t>
  </si>
  <si>
    <t>NEANT</t>
  </si>
  <si>
    <t>ARCHI MET</t>
  </si>
  <si>
    <t>allan.brocard@amsv.fr</t>
  </si>
  <si>
    <t>Montant &lt; à 63€</t>
  </si>
  <si>
    <t>ARTS PRO CARRELAGE - retard</t>
  </si>
  <si>
    <t>artsprocarrelage@yahoo.fr</t>
  </si>
  <si>
    <t>ARMANDO</t>
  </si>
  <si>
    <t>Immobilier / Holding</t>
  </si>
  <si>
    <t>Bernard Partouche / Isabelle Lacchi Dimier</t>
  </si>
  <si>
    <t>partouche.bernard@orange.fr</t>
  </si>
  <si>
    <t>Quadra</t>
  </si>
  <si>
    <t>PAS DE PREL AUTO - PAYE PAR CLIENTE</t>
  </si>
  <si>
    <t>ASSURE MESURE</t>
  </si>
  <si>
    <t>cck69007@gmail.com</t>
  </si>
  <si>
    <t>Exonéré</t>
  </si>
  <si>
    <t>AXXESS DATA</t>
  </si>
  <si>
    <t>Acquisition et traitement de données aeriennes terrestres et sous marines</t>
  </si>
  <si>
    <t>pb@axxessdata.com</t>
  </si>
  <si>
    <t>BATI CENTER</t>
  </si>
  <si>
    <t>Avec SOLUTION BATIMENT SERVICE</t>
  </si>
  <si>
    <t>Pièce non recu, relance  04/03/2026</t>
  </si>
  <si>
    <t>BAUDOIN CONSEILS</t>
  </si>
  <si>
    <t>Conseil en gestion</t>
  </si>
  <si>
    <t>baudoinconseil@gmail.com</t>
  </si>
  <si>
    <t>BEA CONSEILS SAS</t>
  </si>
  <si>
    <t>direction@beaconseils.fr</t>
  </si>
  <si>
    <t>02/12/2024 : Mail Maurice saisie +PES tva 11/2024 à envoyer dans fichier commun et à déclarer</t>
  </si>
  <si>
    <t>BEN BRAHIM ALI</t>
  </si>
  <si>
    <t>W:\00 - CLIENTS\BEN BRAHIM E.I\Dossiers annuels\I - ETAT</t>
  </si>
  <si>
    <t xml:space="preserve">EI </t>
  </si>
  <si>
    <t>BEST TECHNOLOGY SOLUTIONS</t>
  </si>
  <si>
    <t>aaron.nakachepro@gmail.com</t>
  </si>
  <si>
    <t>06 26 53 45 06</t>
  </si>
  <si>
    <t>OK MIGRATION PENNY</t>
  </si>
  <si>
    <t>BUREAU ECOLOGIE</t>
  </si>
  <si>
    <t>Franck Benhammou</t>
  </si>
  <si>
    <t>alphaconsult26@gmail.com</t>
  </si>
  <si>
    <t>06 64 74 12 42</t>
  </si>
  <si>
    <t>BROSSETTE</t>
  </si>
  <si>
    <t>opticien</t>
  </si>
  <si>
    <t>optiquesaintgenis@sfr.fr</t>
  </si>
  <si>
    <t>le client vient 2x/an déposer ses éléments papier, il est très papier, venu en 09/2024 / acd</t>
  </si>
  <si>
    <t>Saisie semestrielle</t>
  </si>
  <si>
    <t>N/A</t>
  </si>
  <si>
    <t>CABINET MENIERE</t>
  </si>
  <si>
    <t>Yohan Amar</t>
  </si>
  <si>
    <t>yohan01700@gmail.com</t>
  </si>
  <si>
    <t>CALADE BARBER</t>
  </si>
  <si>
    <t>CALM</t>
  </si>
  <si>
    <t>Activités des sièges sociaux</t>
  </si>
  <si>
    <t>Saisie trimestrielle</t>
  </si>
  <si>
    <t>SC</t>
  </si>
  <si>
    <t>Néant</t>
  </si>
  <si>
    <t>CA &lt; à 500k €</t>
  </si>
  <si>
    <t>CALADE PROPRETE</t>
  </si>
  <si>
    <t>SASU</t>
  </si>
  <si>
    <t>CCE</t>
  </si>
  <si>
    <t>CELKA</t>
  </si>
  <si>
    <t>06 35 30 76 29</t>
  </si>
  <si>
    <t>CHEZ L ASIAT</t>
  </si>
  <si>
    <t>Restaurant</t>
  </si>
  <si>
    <t>Lien de connexion sur le DA et divers Dia, faire courrier remise gracieuse</t>
  </si>
  <si>
    <t>COLIS COURSES</t>
  </si>
  <si>
    <t>Mathieu Medail</t>
  </si>
  <si>
    <t>mathieu@colis-courses.fr</t>
  </si>
  <si>
    <t>PM</t>
  </si>
  <si>
    <t>CLICTOP</t>
  </si>
  <si>
    <t xml:space="preserve">2024 EN COURS DE FINALISATION </t>
  </si>
  <si>
    <t>07 60 75 40 00</t>
  </si>
  <si>
    <t>CONCEPT TOUCH'</t>
  </si>
  <si>
    <t>CONCIERGERIE DU GRAND EST</t>
  </si>
  <si>
    <t>COTIERE GESTION D PATRIMOINE</t>
  </si>
  <si>
    <t xml:space="preserve">Amandine Soria </t>
  </si>
  <si>
    <t>a.SORIA@guyhoquet.com</t>
  </si>
  <si>
    <t xml:space="preserve">visio 06/03  14h30 et descendre les comptes, Reste compte 471000 </t>
  </si>
  <si>
    <t>DAMLA</t>
  </si>
  <si>
    <t>mai SIE - Changement régime de tva ST 16/10/2024 - Accepté</t>
  </si>
  <si>
    <t>DELICIMMO</t>
  </si>
  <si>
    <t>DELOIN</t>
  </si>
  <si>
    <t>DEMISSY TRISTAN INFIRMIER</t>
  </si>
  <si>
    <t>Saisie annuelle</t>
  </si>
  <si>
    <t>BNC</t>
  </si>
  <si>
    <t>DG PARNAS</t>
  </si>
  <si>
    <t>02/12/2024 : Mail client pour envoi des justif.</t>
  </si>
  <si>
    <t>DR MOREAU</t>
  </si>
  <si>
    <t>Dentiste</t>
  </si>
  <si>
    <t>Lancer la télédéclaration pour payer son Urssaf tous les trimestres, clôturer ses dossiers sur July, puis le passer sur un pennylane, Hotline pour clôturer</t>
  </si>
  <si>
    <t>ELVIS</t>
  </si>
  <si>
    <t>ENSAR</t>
  </si>
  <si>
    <t>EPOPEES SUPPORT</t>
  </si>
  <si>
    <t>Conseil en gestion d'entreprise</t>
  </si>
  <si>
    <t>ETER</t>
  </si>
  <si>
    <t>FASTBUILD</t>
  </si>
  <si>
    <t>FINANCIERE GIRARD</t>
  </si>
  <si>
    <t>client</t>
  </si>
  <si>
    <t>à transmettre à Laurence</t>
  </si>
  <si>
    <t>GHA NETTOYAGE</t>
  </si>
  <si>
    <t>GIRARD</t>
  </si>
  <si>
    <t>Vente, reparation Outillage Agricole</t>
  </si>
  <si>
    <t>FERNANDEZ KEVIN</t>
  </si>
  <si>
    <t>GORANA KOVACEVIC</t>
  </si>
  <si>
    <t>06 23 45 30 46</t>
  </si>
  <si>
    <t>GROUPE CERTIFICAT ECONOMIE ENERGIE GC2E</t>
  </si>
  <si>
    <t>(06) 67 91 06 26</t>
  </si>
  <si>
    <t>A MIGRER SUR PENNYLANE</t>
  </si>
  <si>
    <t>HBI TECH</t>
  </si>
  <si>
    <t>Vente et installation matériel audio</t>
  </si>
  <si>
    <t>Hugues Bienfait</t>
  </si>
  <si>
    <t>contact@neodience.com</t>
  </si>
  <si>
    <t>code d'identification (sharepoint du client) envoyé sur l'email de Pierre</t>
  </si>
  <si>
    <t>GOTHAM</t>
  </si>
  <si>
    <t>HM RENOV 26</t>
  </si>
  <si>
    <t>Laurent Ben Haim</t>
  </si>
  <si>
    <t>hmrenov26@hotmail.fr</t>
  </si>
  <si>
    <t>Transfert pennylane 15/09/2025</t>
  </si>
  <si>
    <t>HOLDING AS</t>
  </si>
  <si>
    <t>Société Civile</t>
  </si>
  <si>
    <t>HOLISTAIA</t>
  </si>
  <si>
    <t>Salon d'esthétique</t>
  </si>
  <si>
    <t xml:space="preserve">Envoie les éléments par mail. </t>
  </si>
  <si>
    <t>HOLDING LIG</t>
  </si>
  <si>
    <t>AVEC IZI PASS ET TERRAQUATIC</t>
  </si>
  <si>
    <t>IBOITES</t>
  </si>
  <si>
    <t>Commerce de detail</t>
  </si>
  <si>
    <t>INDIVISION BERGERET-SORIA</t>
  </si>
  <si>
    <t>Location</t>
  </si>
  <si>
    <t>PERSO MME SORIA</t>
  </si>
  <si>
    <t>INDURA</t>
  </si>
  <si>
    <t>Achats: sur place dépôt sur Yooz, Dire à Maurice que c'est déposé pour saisie (ils ne donnent pas les pièces), Mise en place par Aurélien de jenji en cours, manque accès impot,gouv, RDV client pré situation 02/2025
PENNYLANE</t>
  </si>
  <si>
    <t>INFRA2050</t>
  </si>
  <si>
    <t>Achats: Sur place dépôt sur Yooz, Dire à Maurice que c'est déposé pour saisie
PENNYLANE</t>
  </si>
  <si>
    <t>Association</t>
  </si>
  <si>
    <t>ISOMER</t>
  </si>
  <si>
    <t>IZI PASS</t>
  </si>
  <si>
    <t>Fournitures de reductions et de publicités</t>
  </si>
  <si>
    <t>JACQUES LA COUR - IRPP</t>
  </si>
  <si>
    <t>06 61 78 96 90</t>
  </si>
  <si>
    <t>JL CIVITALI</t>
  </si>
  <si>
    <t>BTP</t>
  </si>
  <si>
    <t>Déficit</t>
  </si>
  <si>
    <t>JM CONSEILS</t>
  </si>
  <si>
    <t>En Cours</t>
  </si>
  <si>
    <t>JUGO</t>
  </si>
  <si>
    <t>Marchand de biens</t>
  </si>
  <si>
    <t>Julien Sougey</t>
  </si>
  <si>
    <t>sougeyjulien@hotmail.fr</t>
  </si>
  <si>
    <t>SNC</t>
  </si>
  <si>
    <t>attente réponse INCEPTO</t>
  </si>
  <si>
    <t>OK PRLV</t>
  </si>
  <si>
    <t>JULIAND</t>
  </si>
  <si>
    <t>refusé par le client</t>
  </si>
  <si>
    <t>attente retour juridique</t>
  </si>
  <si>
    <t>KD France</t>
  </si>
  <si>
    <t>Liasse a teledéclarer</t>
  </si>
  <si>
    <t>Effectué</t>
  </si>
  <si>
    <t>attente retour client</t>
  </si>
  <si>
    <t>LA MECA</t>
  </si>
  <si>
    <t>LA PLACE COIFFURE</t>
  </si>
  <si>
    <t>LA VILLA POM'S D'AMOUR</t>
  </si>
  <si>
    <t>06.17.98.09.88</t>
  </si>
  <si>
    <t>LACOUR</t>
  </si>
  <si>
    <t>Bijouterie</t>
  </si>
  <si>
    <t>Suivre client sur sharepoint / ACD</t>
  </si>
  <si>
    <t>LBH ASSOCIES</t>
  </si>
  <si>
    <t>Holding - Dossier avec HM RENOV</t>
  </si>
  <si>
    <t>Renvoyer TVA car prblm envoi ACD</t>
  </si>
  <si>
    <t>LE STADIUM TANG</t>
  </si>
  <si>
    <t>David Tang</t>
  </si>
  <si>
    <t>hpt69335@gmail.com</t>
  </si>
  <si>
    <t>LESSENTIELLE</t>
  </si>
  <si>
    <t>Epicerie fine de produits frais</t>
  </si>
  <si>
    <t>Sharepoint,  Factures envoyées par mail,  /  A VOIR PENNYLANE OU ACD</t>
  </si>
  <si>
    <t>LMNP LINCA</t>
  </si>
  <si>
    <t>LMNP</t>
  </si>
  <si>
    <t>PERSO LINCA</t>
  </si>
  <si>
    <t>LMNP Marion Medail</t>
  </si>
  <si>
    <t>LMNP MESLATI</t>
  </si>
  <si>
    <t>PERSO MESLATI</t>
  </si>
  <si>
    <t>M ET MME VEY - IRPP</t>
  </si>
  <si>
    <t>MASEN</t>
  </si>
  <si>
    <t>MEHMED REYHAN</t>
  </si>
  <si>
    <t>MENIERE ET AMAR</t>
  </si>
  <si>
    <t>Attention TVA déductible trop versée</t>
  </si>
  <si>
    <t>MERCEDES</t>
  </si>
  <si>
    <t>IMPORTANTE - A DEMANDER AU CLIENT</t>
  </si>
  <si>
    <t>ML COFFRAGE</t>
  </si>
  <si>
    <t>06 95 27 23 88</t>
  </si>
  <si>
    <t>MME MYRIAM MARION</t>
  </si>
  <si>
    <t>Agent commercial</t>
  </si>
  <si>
    <t>Auto-Entrepreneur</t>
  </si>
  <si>
    <t>MOHA COIFFURE</t>
  </si>
  <si>
    <t>MPHONE</t>
  </si>
  <si>
    <t>Ouahcen Ait Chikhoune</t>
  </si>
  <si>
    <t>ouahcen397@yahoo.fr</t>
  </si>
  <si>
    <t>N.E.C.H</t>
  </si>
  <si>
    <t>Acompte is rejeté suite changement date de cloture 30-06</t>
  </si>
  <si>
    <t>NEKY TRANS</t>
  </si>
  <si>
    <t>06 18 74 85 35</t>
  </si>
  <si>
    <t>TVA sept non réglée+majo, email Sylvain 03/01 pour savoir si on paie</t>
  </si>
  <si>
    <t>NEOTUNING</t>
  </si>
  <si>
    <t>NHEK MARINE CAMILIA COIFFURE</t>
  </si>
  <si>
    <t>NIS INVEST</t>
  </si>
  <si>
    <t>OBRECHT CONSULTING</t>
  </si>
  <si>
    <t>Léo Obrecht</t>
  </si>
  <si>
    <t>leo.obrecht@oiconsulting.net</t>
  </si>
  <si>
    <t>OD ASSOCIES</t>
  </si>
  <si>
    <t>(06) 46 42 68 96</t>
  </si>
  <si>
    <t>ODG INVEST</t>
  </si>
  <si>
    <t>ORANGE TRADE</t>
  </si>
  <si>
    <t>OUVERTURES SUR MESURE OSM</t>
  </si>
  <si>
    <t>Laurent Ben Haïm</t>
  </si>
  <si>
    <t>ouvertures-sur-mesure@outlook.fr</t>
  </si>
  <si>
    <t xml:space="preserve">Ventes : par mail de HM RENOV
</t>
  </si>
  <si>
    <t>PARNASSE A LYON</t>
  </si>
  <si>
    <t>PELLS MB</t>
  </si>
  <si>
    <t>IS</t>
  </si>
  <si>
    <t>PM CATAMARANS</t>
  </si>
  <si>
    <t>Fabrication et vente catamarans</t>
  </si>
  <si>
    <t>Emmanuel Bogrand</t>
  </si>
  <si>
    <t>PPCRS</t>
  </si>
  <si>
    <t>PUILLET VITRERIE</t>
  </si>
  <si>
    <t>PULSE PICTURE</t>
  </si>
  <si>
    <t>REROLLED STUDIO</t>
  </si>
  <si>
    <t>SARL L.A. BROC</t>
  </si>
  <si>
    <t>1ère année de créat°</t>
  </si>
  <si>
    <t>SARL MAONIE QUERE</t>
  </si>
  <si>
    <t>Liasse a teledéclarer. En attente validation Remu / risque sur ARE</t>
  </si>
  <si>
    <t>SB SOLUTION CONCEPT</t>
  </si>
  <si>
    <t>SCI Alemke</t>
  </si>
  <si>
    <t>SCI ALMIGIA</t>
  </si>
  <si>
    <t>Dossier lié : COLIS COURSE</t>
  </si>
  <si>
    <t>SCI BABAZ</t>
  </si>
  <si>
    <t>SCI BOPART</t>
  </si>
  <si>
    <t>Ventes de logement</t>
  </si>
  <si>
    <t>Bernard Partouche</t>
  </si>
  <si>
    <t>A FAIRE</t>
  </si>
  <si>
    <t>SCI Bourg-quere</t>
  </si>
  <si>
    <t>SCI BROC PERE ET FILS</t>
  </si>
  <si>
    <t>SCI COCO INVEST</t>
  </si>
  <si>
    <t>OK + PRELV A ECHEANCE 2025</t>
  </si>
  <si>
    <t>SCI EMIR</t>
  </si>
  <si>
    <t>Dossier liée à SOLUTION BATIMENT SERVICE</t>
  </si>
  <si>
    <t>pas accès aux espaces</t>
  </si>
  <si>
    <t>SCI ENES IMMO</t>
  </si>
  <si>
    <t>Dossier lié : SBS</t>
  </si>
  <si>
    <t>SCI GIRARD Fréres</t>
  </si>
  <si>
    <t>na</t>
  </si>
  <si>
    <t>PAS DHABILITATION</t>
  </si>
  <si>
    <t>SCI H3B</t>
  </si>
  <si>
    <t>SCI ILOSBAT</t>
  </si>
  <si>
    <t>En attente AGO 2023 de Constant</t>
  </si>
  <si>
    <t>SCI IRTIGO KOVACEVIC</t>
  </si>
  <si>
    <t>SCI JULIAND</t>
  </si>
  <si>
    <t>Dossier liée : SAS JULIAND</t>
  </si>
  <si>
    <t>Echéanciers demandés aux SIP ; 3 att réponses,  Villeurbanne + Trévoux conciliateur saisi</t>
  </si>
  <si>
    <t>SCI JPM 236</t>
  </si>
  <si>
    <t>a voir avec souhila  ???JE CONNAIS PAS CE DOSSIER  + PEL DMM</t>
  </si>
  <si>
    <t>898205794</t>
  </si>
  <si>
    <t>SCI LA MADONE</t>
  </si>
  <si>
    <t>SCI LA PLAINE</t>
  </si>
  <si>
    <t>PAS DE TF SUR IMPOT GOUV</t>
  </si>
  <si>
    <t>SCI LEFEBVRE</t>
  </si>
  <si>
    <t>Pennylane à partir de Ex2024</t>
  </si>
  <si>
    <t>SCI LES BLONDS</t>
  </si>
  <si>
    <t>PREL A ECHEANCE ACTIF</t>
  </si>
  <si>
    <t>SCI LMS LES PRUGNES</t>
  </si>
  <si>
    <t>Dossier liée à HM RENOV</t>
  </si>
  <si>
    <t>SCI LYAAR</t>
  </si>
  <si>
    <t>Pierre</t>
  </si>
  <si>
    <t>SCI MARLICE</t>
  </si>
  <si>
    <t>MENSUALISE ET PAYE</t>
  </si>
  <si>
    <t>SCI MG</t>
  </si>
  <si>
    <t>06 26 48 50 32</t>
  </si>
  <si>
    <t>MAIL ENV AU CLIENT 300925 PAS DE DELEGATION POUR PAYER</t>
  </si>
  <si>
    <t>SCI MOV</t>
  </si>
  <si>
    <t>SCI ORIS // IMMEUBLE CAFE DU CENTRE</t>
  </si>
  <si>
    <t>SCI REBECCA</t>
  </si>
  <si>
    <t>dossier lié à DELICIMMO</t>
  </si>
  <si>
    <t>SCI REVIBAT</t>
  </si>
  <si>
    <t>Marc Labaty</t>
  </si>
  <si>
    <t>mlabaty@hotmail.com</t>
  </si>
  <si>
    <t>06 49 81 14 51</t>
  </si>
  <si>
    <t>SCI SAINTE CHARLINE</t>
  </si>
  <si>
    <t>SCI VDR</t>
  </si>
  <si>
    <t>dossier lié à VILLETE VITRERIE</t>
  </si>
  <si>
    <t>SEP LYON 8</t>
  </si>
  <si>
    <t>SEP</t>
  </si>
  <si>
    <t>SEP VENISSIEUX</t>
  </si>
  <si>
    <t>SEVEN FOOD</t>
  </si>
  <si>
    <t>06 51 00 15 60</t>
  </si>
  <si>
    <t>SH TRADING LTD</t>
  </si>
  <si>
    <t>SERVICE HABITAT</t>
  </si>
  <si>
    <t>Zoher Haffaf</t>
  </si>
  <si>
    <t>herzohaf@yahoo.fr</t>
  </si>
  <si>
    <t>SHAYLI 770</t>
  </si>
  <si>
    <t>SMART SYSTEM PRO</t>
  </si>
  <si>
    <t>Radhwane Houacine</t>
  </si>
  <si>
    <t>info@smartsystemepro.fr</t>
  </si>
  <si>
    <t>SNC JUMA</t>
  </si>
  <si>
    <t>SO FRESH</t>
  </si>
  <si>
    <t>SOGENADE</t>
  </si>
  <si>
    <t>Prestations accompagnement sociétés polonaises</t>
  </si>
  <si>
    <t>STA SERVICES</t>
  </si>
  <si>
    <t>SOLUTION BATIMENT SERVICES</t>
  </si>
  <si>
    <t>STATION DE LAVAGE</t>
  </si>
  <si>
    <t>Station de lavage</t>
  </si>
  <si>
    <t>STELCO</t>
  </si>
  <si>
    <t>X NEANT</t>
  </si>
  <si>
    <t>STRATTON</t>
  </si>
  <si>
    <t>TN CONCEPT</t>
  </si>
  <si>
    <t>Mustafa Göktas</t>
  </si>
  <si>
    <t>nconcept@hotmail.com</t>
  </si>
  <si>
    <t>TOTO</t>
  </si>
  <si>
    <t>TERRAQUATIC</t>
  </si>
  <si>
    <t>X ST</t>
  </si>
  <si>
    <t>TRUFFY</t>
  </si>
  <si>
    <t>06 65 32 42 32</t>
  </si>
  <si>
    <t>Client</t>
  </si>
  <si>
    <t>TTINOX</t>
  </si>
  <si>
    <t>TWIGS</t>
  </si>
  <si>
    <t>TZ IMPORT</t>
  </si>
  <si>
    <t>non</t>
  </si>
  <si>
    <t>UNIVERSEL ENVIRONNEMENT</t>
  </si>
  <si>
    <t>(06) 26 48 50 32</t>
  </si>
  <si>
    <t>VILLETTE VITRERIE</t>
  </si>
  <si>
    <t>Damien Rudewiez</t>
  </si>
  <si>
    <t>villettevitrerie@gmail.com</t>
  </si>
  <si>
    <t>VICTORIA GOLD</t>
  </si>
  <si>
    <t>XSEM</t>
  </si>
  <si>
    <t>Ingénierie, études techniques</t>
  </si>
  <si>
    <t>toujours faire valider montant TVA et IS avant d'envoyer</t>
  </si>
  <si>
    <t>v</t>
  </si>
  <si>
    <t>Date arrêté bilan</t>
  </si>
  <si>
    <t/>
  </si>
  <si>
    <t xml:space="preserve">A.K ETUDES &amp; EXPERTS </t>
  </si>
  <si>
    <t xml:space="preserve">Nom du Collaborateur </t>
  </si>
  <si>
    <t>Forme du dossier</t>
  </si>
  <si>
    <t xml:space="preserve">régime </t>
  </si>
  <si>
    <t>Date cloture</t>
  </si>
  <si>
    <t>Révision ou saisie</t>
  </si>
  <si>
    <t>Suivi Liasse</t>
  </si>
  <si>
    <t>Logiciel</t>
  </si>
  <si>
    <t>Date Limite de TVA</t>
  </si>
  <si>
    <t>Avancement</t>
  </si>
  <si>
    <t>A Faire</t>
  </si>
  <si>
    <t>Manal</t>
  </si>
  <si>
    <t>Réception docs</t>
  </si>
  <si>
    <t>Maurice</t>
  </si>
  <si>
    <t>NA</t>
  </si>
  <si>
    <t>ACD --&gt; PENNYLANE EN COUR</t>
  </si>
  <si>
    <t>Comptabilisation</t>
  </si>
  <si>
    <t>Tiime</t>
  </si>
  <si>
    <t>Axonaut</t>
  </si>
  <si>
    <t>Déclaration</t>
  </si>
  <si>
    <t>July</t>
  </si>
  <si>
    <t>Envoi</t>
  </si>
  <si>
    <t>JDC</t>
  </si>
  <si>
    <t>ATTENTION AUX MODIFS SUR CE FICHIER, CELA MODIFIE LE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</si>
</sst>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_-* #,##0.00\ [$€-40C]_-;\-* #,##0.00\ [$€-40C]_-;_-* &quot;-&quot;??\ [$€-40C]_-;_-@_-"/>
  </numFmts>
  <fonts count="23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  <charset val="1"/>
    </font>
    <font>
      <sz val="8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color rgb="FFFF0000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8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DAA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16" fontId="0" fillId="0" borderId="0" xfId="0" applyNumberFormat="1"/>
    <xf numFmtId="0" fontId="0" fillId="2" borderId="0" xfId="0" applyFill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14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8" fillId="0" borderId="1" xfId="0" applyFont="1" applyBorder="1"/>
    <xf numFmtId="14" fontId="18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" fontId="2" fillId="0" borderId="3" xfId="0" applyNumberFormat="1" applyFon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" fontId="21" fillId="3" borderId="9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16" fontId="21" fillId="3" borderId="10" xfId="0" applyNumberFormat="1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4" fillId="0" borderId="1" xfId="1" applyFill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4" fillId="0" borderId="1" xfId="1" applyFill="1" applyBorder="1" applyAlignment="1"/>
    <xf numFmtId="14" fontId="7" fillId="9" borderId="1" xfId="0" applyNumberFormat="1" applyFont="1" applyFill="1" applyBorder="1" applyAlignment="1">
      <alignment horizontal="center"/>
    </xf>
    <xf numFmtId="14" fontId="7" fillId="8" borderId="1" xfId="0" applyNumberFormat="1" applyFont="1" applyFill="1" applyBorder="1" applyAlignment="1">
      <alignment horizontal="center"/>
    </xf>
    <xf numFmtId="16" fontId="10" fillId="10" borderId="1" xfId="0" applyNumberFormat="1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5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 patternType="solid">
          <bgColor theme="4" tint="0.599993896298104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9.9978637043366805E-2"/>
      </font>
      <fill>
        <patternFill patternType="solid">
          <bgColor theme="2" tint="-9.9978637043366805E-2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  <dxf>
      <font>
        <color theme="2" tint="-0.249977111117893"/>
      </font>
      <fill>
        <patternFill patternType="solid">
          <bgColor theme="2" tint="-0.249977111117893"/>
        </patternFill>
      </fill>
    </dxf>
  </dxfs>
  <tableStyles count="0" defaultTableStyle="TableStyleMedium2" defaultPivotStyle="PivotStyleMedium9"/>
  <colors>
    <mruColors>
      <color rgb="FFE3DAA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1" id="{77B9A72D-928D-402D-A194-2BCCBDFE467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ylvain STRIPPOLI" id="{DE979EC0-98ED-4FAD-B7A5-4D62995C0009}" userId="S::s.strippoli@fiduciaire-villeurbannaise.fr::34265353-7793-46b9-b90f-b7337328de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25" dT="2025-04-07T13:32:54.61" personId="{DE979EC0-98ED-4FAD-B7A5-4D62995C0009}" id="{F7FE48B1-9026-4C72-BF0E-180D7B86E667}">
    <text>Acquisition véhciule sur 2025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.SORIA@guyhoquet.com" TargetMode="External"/><Relationship Id="rId18" Type="http://schemas.openxmlformats.org/officeDocument/2006/relationships/hyperlink" Target="mailto:sougeyjulien@hotmail.fr" TargetMode="External"/><Relationship Id="rId26" Type="http://schemas.openxmlformats.org/officeDocument/2006/relationships/hyperlink" Target="mailto:ouahcen397@yahoo.fr" TargetMode="External"/><Relationship Id="rId39" Type="http://schemas.microsoft.com/office/2019/04/relationships/namedSheetView" Target="../namedSheetViews/namedSheetView1.xml"/><Relationship Id="rId21" Type="http://schemas.openxmlformats.org/officeDocument/2006/relationships/hyperlink" Target="mailto:info@smartsystemepro.fr" TargetMode="External"/><Relationship Id="rId34" Type="http://schemas.openxmlformats.org/officeDocument/2006/relationships/hyperlink" Target="mailto:partouche.bernard@orange.fr" TargetMode="External"/><Relationship Id="rId7" Type="http://schemas.openxmlformats.org/officeDocument/2006/relationships/hyperlink" Target="mailto:pb@axxessdata.com" TargetMode="External"/><Relationship Id="rId12" Type="http://schemas.openxmlformats.org/officeDocument/2006/relationships/hyperlink" Target="mailto:herzohaf@yahoo.fr" TargetMode="External"/><Relationship Id="rId17" Type="http://schemas.openxmlformats.org/officeDocument/2006/relationships/hyperlink" Target="mailto:sougeyjulien@hotmail.fr" TargetMode="External"/><Relationship Id="rId25" Type="http://schemas.openxmlformats.org/officeDocument/2006/relationships/hyperlink" Target="mailto:mathieu@colis-courses.fr" TargetMode="External"/><Relationship Id="rId33" Type="http://schemas.openxmlformats.org/officeDocument/2006/relationships/hyperlink" Target="mailto:ouvertures-sur-mesure@outlook.fr" TargetMode="External"/><Relationship Id="rId38" Type="http://schemas.microsoft.com/office/2017/10/relationships/threadedComment" Target="../threadedComments/threadedComment1.xml"/><Relationship Id="rId2" Type="http://schemas.openxmlformats.org/officeDocument/2006/relationships/hyperlink" Target="mailto:ambre_dore@yahoo.fr" TargetMode="External"/><Relationship Id="rId16" Type="http://schemas.openxmlformats.org/officeDocument/2006/relationships/hyperlink" Target="mailto:mlabaty@hotmail.com" TargetMode="External"/><Relationship Id="rId20" Type="http://schemas.openxmlformats.org/officeDocument/2006/relationships/hyperlink" Target="mailto:sougeyjulien@hotmail.fr" TargetMode="External"/><Relationship Id="rId29" Type="http://schemas.openxmlformats.org/officeDocument/2006/relationships/hyperlink" Target="mailto:yohan01700@gmail.com" TargetMode="External"/><Relationship Id="rId1" Type="http://schemas.openxmlformats.org/officeDocument/2006/relationships/hyperlink" Target="mailto:christophe@dailyfresh-media.com" TargetMode="External"/><Relationship Id="rId6" Type="http://schemas.openxmlformats.org/officeDocument/2006/relationships/hyperlink" Target="mailto:cck69007@gmail.com" TargetMode="External"/><Relationship Id="rId11" Type="http://schemas.openxmlformats.org/officeDocument/2006/relationships/hyperlink" Target="mailto:alphaconsult26@gmail.com" TargetMode="External"/><Relationship Id="rId24" Type="http://schemas.openxmlformats.org/officeDocument/2006/relationships/hyperlink" Target="mailto:hpt69335@gmail.com" TargetMode="External"/><Relationship Id="rId32" Type="http://schemas.openxmlformats.org/officeDocument/2006/relationships/hyperlink" Target="mailto:a.SORIA@guyhoquet.com" TargetMode="External"/><Relationship Id="rId37" Type="http://schemas.openxmlformats.org/officeDocument/2006/relationships/comments" Target="../comments1.xml"/><Relationship Id="rId5" Type="http://schemas.openxmlformats.org/officeDocument/2006/relationships/hyperlink" Target="mailto:artsprocarrelage@yahoo.fr" TargetMode="External"/><Relationship Id="rId15" Type="http://schemas.openxmlformats.org/officeDocument/2006/relationships/hyperlink" Target="mailto:TNCONCEPT@hotmail.com" TargetMode="External"/><Relationship Id="rId23" Type="http://schemas.openxmlformats.org/officeDocument/2006/relationships/hyperlink" Target="mailto:partouche.bernard@orange.fr" TargetMode="External"/><Relationship Id="rId28" Type="http://schemas.openxmlformats.org/officeDocument/2006/relationships/hyperlink" Target="mailto:yohan01700@gmail.com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mailto:aaron.nakachepro@gmail.com" TargetMode="External"/><Relationship Id="rId19" Type="http://schemas.openxmlformats.org/officeDocument/2006/relationships/hyperlink" Target="mailto:sougeyjulien@hotmail.fr" TargetMode="External"/><Relationship Id="rId31" Type="http://schemas.openxmlformats.org/officeDocument/2006/relationships/hyperlink" Target="mailto:hmrenov26@hotmail.fr" TargetMode="External"/><Relationship Id="rId4" Type="http://schemas.openxmlformats.org/officeDocument/2006/relationships/hyperlink" Target="mailto:allan.brocard@amsv.fr" TargetMode="External"/><Relationship Id="rId9" Type="http://schemas.openxmlformats.org/officeDocument/2006/relationships/hyperlink" Target="mailto:direction@beaconseils.fr" TargetMode="External"/><Relationship Id="rId14" Type="http://schemas.openxmlformats.org/officeDocument/2006/relationships/hyperlink" Target="mailto:nconcept@hotmail.com" TargetMode="External"/><Relationship Id="rId22" Type="http://schemas.openxmlformats.org/officeDocument/2006/relationships/hyperlink" Target="mailto:villettevitrerie@gmail.com" TargetMode="External"/><Relationship Id="rId27" Type="http://schemas.openxmlformats.org/officeDocument/2006/relationships/hyperlink" Target="mailto:contact@neodience.com" TargetMode="External"/><Relationship Id="rId30" Type="http://schemas.openxmlformats.org/officeDocument/2006/relationships/hyperlink" Target="mailto:alphaconsult26@gmail.com" TargetMode="External"/><Relationship Id="rId35" Type="http://schemas.openxmlformats.org/officeDocument/2006/relationships/hyperlink" Target="mailto:leo.obrecht@oiconsulting.net" TargetMode="External"/><Relationship Id="rId8" Type="http://schemas.openxmlformats.org/officeDocument/2006/relationships/hyperlink" Target="mailto:baudoinconseil@gmail.com" TargetMode="External"/><Relationship Id="rId3" Type="http://schemas.openxmlformats.org/officeDocument/2006/relationships/hyperlink" Target="mailto:amb.tassinoises.giraud@wanad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A182"/>
  <sheetViews>
    <sheetView showGridLines="0" tabSelected="1" zoomScaleNormal="100" workbookViewId="0">
      <pane xSplit="4" topLeftCell="Z1" activePane="topRight" state="frozen"/>
      <selection pane="topRight" activeCell="AT34" sqref="AT34"/>
    </sheetView>
  </sheetViews>
  <sheetFormatPr defaultColWidth="13.7109375" defaultRowHeight="15" outlineLevelCol="1"/>
  <cols>
    <col min="1" max="1" width="12.28515625" style="6" bestFit="1" customWidth="1"/>
    <col min="2" max="2" width="17.7109375" style="6" customWidth="1"/>
    <col min="3" max="3" width="18.7109375" style="6" customWidth="1"/>
    <col min="4" max="4" width="28" style="4" customWidth="1"/>
    <col min="5" max="5" width="19.28515625" style="4" customWidth="1" outlineLevel="1"/>
    <col min="6" max="6" width="15.85546875" style="4" customWidth="1" outlineLevel="1"/>
    <col min="7" max="7" width="34.42578125" style="75" customWidth="1" outlineLevel="1"/>
    <col min="8" max="8" width="14.140625" style="4" customWidth="1" outlineLevel="1"/>
    <col min="9" max="9" width="12" style="6" bestFit="1" customWidth="1"/>
    <col min="10" max="10" width="30.42578125" style="77" customWidth="1"/>
    <col min="11" max="11" width="21.5703125" style="6" bestFit="1" customWidth="1"/>
    <col min="12" max="12" width="17.140625" style="6" bestFit="1" customWidth="1"/>
    <col min="13" max="13" width="18.28515625" style="6" bestFit="1" customWidth="1"/>
    <col min="14" max="14" width="10.7109375" style="7" bestFit="1" customWidth="1"/>
    <col min="15" max="15" width="18.85546875" style="98" bestFit="1" customWidth="1"/>
    <col min="16" max="18" width="20.7109375" style="6" customWidth="1" outlineLevel="1"/>
    <col min="19" max="19" width="12.42578125" style="6" customWidth="1" outlineLevel="1"/>
    <col min="20" max="20" width="15.140625" style="6" customWidth="1" outlineLevel="1"/>
    <col min="21" max="23" width="7.42578125" style="6" customWidth="1" outlineLevel="1"/>
    <col min="24" max="24" width="7.42578125" style="9" customWidth="1" outlineLevel="1"/>
    <col min="25" max="25" width="6.7109375" style="6" customWidth="1" outlineLevel="1"/>
    <col min="26" max="26" width="7.85546875" style="6" customWidth="1"/>
    <col min="27" max="38" width="6.28515625" style="6" customWidth="1" outlineLevel="1"/>
    <col min="39" max="43" width="8.140625" style="6" customWidth="1"/>
    <col min="44" max="49" width="7.85546875" style="6" customWidth="1"/>
    <col min="50" max="52" width="12.85546875" style="6" customWidth="1"/>
    <col min="53" max="53" width="11.85546875" style="6" customWidth="1"/>
    <col min="54" max="16384" width="13.7109375" style="6"/>
  </cols>
  <sheetData>
    <row r="1" spans="1:53" s="75" customFormat="1">
      <c r="F1" s="4"/>
      <c r="H1" s="4"/>
      <c r="J1" s="77"/>
      <c r="N1" s="76"/>
      <c r="O1" s="97"/>
      <c r="Y1"/>
    </row>
    <row r="2" spans="1:53">
      <c r="D2" s="6"/>
      <c r="E2" s="6"/>
      <c r="X2" s="6"/>
      <c r="Y2" s="8"/>
    </row>
    <row r="3" spans="1:53">
      <c r="D3" s="6"/>
      <c r="E3" s="6"/>
      <c r="X3" s="6"/>
      <c r="Y3" s="8"/>
    </row>
    <row r="4" spans="1:53" ht="15.75">
      <c r="D4" s="6"/>
      <c r="E4" s="6"/>
      <c r="P4" s="107" t="s">
        <v>0</v>
      </c>
      <c r="Q4" s="108"/>
      <c r="R4" s="108"/>
      <c r="S4" s="108"/>
      <c r="T4" s="108"/>
      <c r="U4" s="108"/>
      <c r="V4" s="108"/>
      <c r="W4" s="108"/>
      <c r="X4" s="108"/>
      <c r="Y4" s="107" t="s">
        <v>1</v>
      </c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7" t="s">
        <v>2</v>
      </c>
      <c r="AN4" s="108"/>
      <c r="AO4" s="108"/>
      <c r="AP4" s="108"/>
      <c r="AQ4" s="108"/>
      <c r="AR4" s="109" t="s">
        <v>3</v>
      </c>
      <c r="AS4" s="110"/>
      <c r="AT4" s="110"/>
      <c r="AU4" s="110"/>
      <c r="AV4" s="110"/>
      <c r="AW4" s="110"/>
      <c r="AX4" s="107" t="s">
        <v>4</v>
      </c>
      <c r="AY4" s="108"/>
      <c r="AZ4" s="111"/>
      <c r="BA4" s="6" t="s">
        <v>5</v>
      </c>
    </row>
    <row r="5" spans="1:53" s="48" customFormat="1" ht="47.25">
      <c r="A5" s="47" t="s">
        <v>6</v>
      </c>
      <c r="B5" s="47" t="s">
        <v>7</v>
      </c>
      <c r="C5" s="47" t="s">
        <v>8</v>
      </c>
      <c r="D5" s="47" t="s">
        <v>9</v>
      </c>
      <c r="E5" s="47" t="s">
        <v>10</v>
      </c>
      <c r="F5" s="47" t="s">
        <v>11</v>
      </c>
      <c r="G5" s="100" t="s">
        <v>12</v>
      </c>
      <c r="H5" s="47" t="s">
        <v>13</v>
      </c>
      <c r="I5" s="47" t="s">
        <v>14</v>
      </c>
      <c r="J5" s="47" t="s">
        <v>15</v>
      </c>
      <c r="K5" s="47" t="s">
        <v>16</v>
      </c>
      <c r="L5" s="47" t="s">
        <v>17</v>
      </c>
      <c r="M5" s="47" t="s">
        <v>18</v>
      </c>
      <c r="N5" s="47" t="s">
        <v>19</v>
      </c>
      <c r="O5" s="99" t="s">
        <v>20</v>
      </c>
      <c r="P5" s="78" t="s">
        <v>21</v>
      </c>
      <c r="Q5" s="78" t="s">
        <v>22</v>
      </c>
      <c r="R5" s="78" t="s">
        <v>23</v>
      </c>
      <c r="S5" s="79" t="s">
        <v>24</v>
      </c>
      <c r="T5" s="79" t="s">
        <v>25</v>
      </c>
      <c r="U5" s="79" t="s">
        <v>26</v>
      </c>
      <c r="V5" s="79" t="s">
        <v>27</v>
      </c>
      <c r="W5" s="79" t="s">
        <v>28</v>
      </c>
      <c r="X5" s="80" t="s">
        <v>29</v>
      </c>
      <c r="Y5" s="81" t="s">
        <v>30</v>
      </c>
      <c r="Z5" s="81" t="s">
        <v>31</v>
      </c>
      <c r="AA5" s="81" t="s">
        <v>32</v>
      </c>
      <c r="AB5" s="81" t="s">
        <v>33</v>
      </c>
      <c r="AC5" s="81" t="s">
        <v>34</v>
      </c>
      <c r="AD5" s="81" t="s">
        <v>35</v>
      </c>
      <c r="AE5" s="81" t="s">
        <v>36</v>
      </c>
      <c r="AF5" s="81" t="s">
        <v>37</v>
      </c>
      <c r="AG5" s="81" t="s">
        <v>38</v>
      </c>
      <c r="AH5" s="81" t="s">
        <v>39</v>
      </c>
      <c r="AI5" s="81" t="s">
        <v>40</v>
      </c>
      <c r="AJ5" s="81" t="s">
        <v>41</v>
      </c>
      <c r="AK5" s="81" t="s">
        <v>42</v>
      </c>
      <c r="AL5" s="82" t="s">
        <v>43</v>
      </c>
      <c r="AM5" s="83" t="s">
        <v>44</v>
      </c>
      <c r="AN5" s="84" t="s">
        <v>45</v>
      </c>
      <c r="AO5" s="84" t="s">
        <v>46</v>
      </c>
      <c r="AP5" s="84" t="s">
        <v>47</v>
      </c>
      <c r="AQ5" s="84" t="s">
        <v>48</v>
      </c>
      <c r="AR5" s="79" t="s">
        <v>49</v>
      </c>
      <c r="AS5" s="79" t="s">
        <v>50</v>
      </c>
      <c r="AT5" s="79" t="s">
        <v>51</v>
      </c>
      <c r="AU5" s="79" t="s">
        <v>52</v>
      </c>
      <c r="AV5" s="79" t="s">
        <v>53</v>
      </c>
      <c r="AW5" s="79" t="s">
        <v>54</v>
      </c>
      <c r="AX5" s="85" t="s">
        <v>55</v>
      </c>
      <c r="AY5" s="85" t="s">
        <v>56</v>
      </c>
      <c r="AZ5" s="85" t="s">
        <v>57</v>
      </c>
      <c r="BA5" s="47">
        <v>2561</v>
      </c>
    </row>
    <row r="6" spans="1:53" hidden="1">
      <c r="A6" s="10" t="s">
        <v>58</v>
      </c>
      <c r="B6" s="10" t="s">
        <v>59</v>
      </c>
      <c r="C6" s="10" t="s">
        <v>60</v>
      </c>
      <c r="D6" s="11" t="s">
        <v>61</v>
      </c>
      <c r="E6" s="11"/>
      <c r="F6" s="11"/>
      <c r="G6" s="5" t="s">
        <v>62</v>
      </c>
      <c r="H6" s="11"/>
      <c r="I6" s="10" t="s">
        <v>63</v>
      </c>
      <c r="J6" s="70"/>
      <c r="K6" s="10" t="s">
        <v>64</v>
      </c>
      <c r="L6" s="10" t="s">
        <v>65</v>
      </c>
      <c r="M6" s="10" t="s">
        <v>66</v>
      </c>
      <c r="N6" s="13">
        <v>828288068</v>
      </c>
      <c r="O6" s="18">
        <v>46022</v>
      </c>
      <c r="P6" s="16">
        <v>46142</v>
      </c>
      <c r="Q6" s="16"/>
      <c r="R6" s="16"/>
      <c r="S6" s="10"/>
      <c r="T6" s="10"/>
      <c r="U6" s="10"/>
      <c r="V6" s="10"/>
      <c r="W6" s="10"/>
      <c r="X6" s="52"/>
      <c r="Y6" s="49" t="s">
        <v>67</v>
      </c>
      <c r="Z6" s="15">
        <v>24</v>
      </c>
      <c r="AA6" s="10" t="s">
        <v>60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58"/>
      <c r="AM6" s="63"/>
      <c r="AN6" s="18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hidden="1">
      <c r="A7" s="10" t="s">
        <v>58</v>
      </c>
      <c r="B7" s="10" t="s">
        <v>68</v>
      </c>
      <c r="C7" s="10" t="s">
        <v>60</v>
      </c>
      <c r="D7" s="11" t="s">
        <v>69</v>
      </c>
      <c r="E7" s="11"/>
      <c r="F7" s="10"/>
      <c r="G7" s="5" t="s">
        <v>70</v>
      </c>
      <c r="H7" s="10"/>
      <c r="I7" s="10" t="s">
        <v>63</v>
      </c>
      <c r="J7" s="87"/>
      <c r="K7" s="10" t="s">
        <v>64</v>
      </c>
      <c r="L7" s="10" t="s">
        <v>65</v>
      </c>
      <c r="M7" s="10" t="s">
        <v>66</v>
      </c>
      <c r="N7" s="19">
        <v>847506227</v>
      </c>
      <c r="O7" s="18">
        <v>46022</v>
      </c>
      <c r="P7" s="16"/>
      <c r="Q7" s="16"/>
      <c r="R7" s="16"/>
      <c r="S7" s="10"/>
      <c r="T7" s="10"/>
      <c r="U7" s="10"/>
      <c r="V7" s="10"/>
      <c r="W7" s="10"/>
      <c r="X7" s="52"/>
      <c r="Y7" s="49" t="s">
        <v>71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58"/>
      <c r="AM7" s="63"/>
      <c r="AN7" s="10"/>
      <c r="AO7" s="10"/>
      <c r="AP7" s="10"/>
      <c r="AQ7" s="10" t="s">
        <v>60</v>
      </c>
      <c r="AR7" s="10"/>
      <c r="AS7" s="10"/>
      <c r="AT7" s="11"/>
      <c r="AU7" s="10"/>
      <c r="AV7" s="10"/>
      <c r="AW7" s="10"/>
      <c r="AX7" s="10" t="s">
        <v>60</v>
      </c>
      <c r="AY7" s="10" t="s">
        <v>60</v>
      </c>
      <c r="AZ7" s="10" t="s">
        <v>60</v>
      </c>
      <c r="BA7" s="10"/>
    </row>
    <row r="8" spans="1:53" hidden="1">
      <c r="A8" s="10" t="s">
        <v>58</v>
      </c>
      <c r="B8" s="10" t="s">
        <v>68</v>
      </c>
      <c r="C8" s="10" t="s">
        <v>59</v>
      </c>
      <c r="D8" s="20" t="s">
        <v>72</v>
      </c>
      <c r="E8" s="11"/>
      <c r="F8" s="11"/>
      <c r="G8" s="5" t="s">
        <v>73</v>
      </c>
      <c r="H8" s="11"/>
      <c r="I8" s="10" t="s">
        <v>74</v>
      </c>
      <c r="J8" s="87"/>
      <c r="K8" s="10" t="s">
        <v>75</v>
      </c>
      <c r="L8" s="10" t="s">
        <v>65</v>
      </c>
      <c r="M8" s="10" t="s">
        <v>76</v>
      </c>
      <c r="N8" s="13">
        <v>978329100</v>
      </c>
      <c r="O8" s="18">
        <v>46022</v>
      </c>
      <c r="P8" s="16"/>
      <c r="Q8" s="16"/>
      <c r="R8" s="16"/>
      <c r="S8" s="18"/>
      <c r="T8" s="18"/>
      <c r="U8" s="10"/>
      <c r="V8" s="10"/>
      <c r="W8" s="10"/>
      <c r="X8" s="52"/>
      <c r="Y8" s="49" t="s">
        <v>77</v>
      </c>
      <c r="Z8" s="10">
        <v>24</v>
      </c>
      <c r="AA8" s="10" t="s">
        <v>78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58"/>
      <c r="AM8" s="63"/>
      <c r="AN8" s="10" t="s">
        <v>79</v>
      </c>
      <c r="AO8" s="10"/>
      <c r="AP8" s="10" t="s">
        <v>60</v>
      </c>
      <c r="AQ8" s="10" t="s">
        <v>60</v>
      </c>
      <c r="AR8" s="10"/>
      <c r="AS8" s="10"/>
      <c r="AT8" s="10"/>
      <c r="AU8" s="10"/>
      <c r="AV8" s="10"/>
      <c r="AW8" s="10"/>
      <c r="AX8" s="10" t="s">
        <v>60</v>
      </c>
      <c r="AY8" s="10" t="s">
        <v>60</v>
      </c>
      <c r="AZ8" s="10" t="s">
        <v>60</v>
      </c>
      <c r="BA8" s="10"/>
    </row>
    <row r="9" spans="1:53" hidden="1">
      <c r="A9" s="10" t="s">
        <v>58</v>
      </c>
      <c r="B9" s="10" t="s">
        <v>59</v>
      </c>
      <c r="C9" s="10" t="s">
        <v>60</v>
      </c>
      <c r="D9" s="11" t="s">
        <v>80</v>
      </c>
      <c r="E9" s="11"/>
      <c r="F9" s="11"/>
      <c r="G9" s="5" t="s">
        <v>81</v>
      </c>
      <c r="H9" s="11"/>
      <c r="I9" s="10"/>
      <c r="J9" s="70"/>
      <c r="K9" s="10" t="s">
        <v>64</v>
      </c>
      <c r="L9" s="10" t="s">
        <v>82</v>
      </c>
      <c r="M9" s="10" t="s">
        <v>66</v>
      </c>
      <c r="N9" s="13">
        <v>790864284</v>
      </c>
      <c r="O9" s="18">
        <v>46022</v>
      </c>
      <c r="P9" s="16">
        <v>46142</v>
      </c>
      <c r="Q9" s="16"/>
      <c r="R9" s="21"/>
      <c r="S9" s="10"/>
      <c r="T9" s="10"/>
      <c r="U9" s="10"/>
      <c r="V9" s="10"/>
      <c r="W9" s="10"/>
      <c r="X9" s="52"/>
      <c r="Y9" s="49" t="s">
        <v>67</v>
      </c>
      <c r="Z9" s="15">
        <v>24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58"/>
      <c r="AM9" s="63"/>
      <c r="AN9" s="18"/>
      <c r="AO9" s="10"/>
      <c r="AP9" s="10"/>
      <c r="AQ9" s="10"/>
      <c r="AR9" s="10"/>
      <c r="AS9" s="10"/>
      <c r="AT9" s="10"/>
      <c r="AU9" s="10"/>
      <c r="AV9" s="10"/>
      <c r="AW9" s="15"/>
      <c r="AX9" s="10"/>
      <c r="AY9" s="10"/>
      <c r="AZ9" s="10"/>
      <c r="BA9" s="10"/>
    </row>
    <row r="10" spans="1:53" hidden="1">
      <c r="A10" s="10" t="s">
        <v>58</v>
      </c>
      <c r="B10" s="10" t="s">
        <v>59</v>
      </c>
      <c r="C10" s="10" t="s">
        <v>60</v>
      </c>
      <c r="D10" s="11" t="s">
        <v>83</v>
      </c>
      <c r="E10" s="11"/>
      <c r="F10" s="10"/>
      <c r="G10" s="5"/>
      <c r="H10" s="10"/>
      <c r="I10" s="10"/>
      <c r="J10" s="87"/>
      <c r="K10" s="10" t="s">
        <v>64</v>
      </c>
      <c r="L10" s="10"/>
      <c r="M10" s="10"/>
      <c r="N10" s="13"/>
      <c r="O10" s="18">
        <v>46022</v>
      </c>
      <c r="P10" s="16">
        <v>46081</v>
      </c>
      <c r="Q10" s="16"/>
      <c r="R10" s="18"/>
      <c r="S10" s="10"/>
      <c r="T10" s="10"/>
      <c r="U10" s="10"/>
      <c r="V10" s="10"/>
      <c r="W10" s="10"/>
      <c r="X10" s="52"/>
      <c r="Y10" s="49"/>
      <c r="Z10" s="15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58"/>
      <c r="AM10" s="63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ht="44.25" customHeight="1">
      <c r="A11" s="10" t="s">
        <v>84</v>
      </c>
      <c r="B11" s="10"/>
      <c r="C11" s="10" t="s">
        <v>85</v>
      </c>
      <c r="D11" s="20" t="s">
        <v>86</v>
      </c>
      <c r="E11" s="11" t="s">
        <v>87</v>
      </c>
      <c r="F11" s="11"/>
      <c r="G11" s="5" t="s">
        <v>88</v>
      </c>
      <c r="H11" s="11"/>
      <c r="I11" s="10" t="s">
        <v>63</v>
      </c>
      <c r="J11" s="87" t="s">
        <v>89</v>
      </c>
      <c r="K11" s="10" t="s">
        <v>75</v>
      </c>
      <c r="L11" s="10" t="s">
        <v>65</v>
      </c>
      <c r="M11" s="10" t="s">
        <v>66</v>
      </c>
      <c r="N11" s="13">
        <v>819319138</v>
      </c>
      <c r="O11" s="18">
        <v>46022</v>
      </c>
      <c r="P11" s="16">
        <v>46146</v>
      </c>
      <c r="Q11" s="16"/>
      <c r="R11" s="16"/>
      <c r="S11" s="10"/>
      <c r="T11" s="10"/>
      <c r="U11" s="10"/>
      <c r="V11" s="10"/>
      <c r="W11" s="10"/>
      <c r="X11" s="52"/>
      <c r="Y11" s="49" t="s">
        <v>77</v>
      </c>
      <c r="Z11" s="15">
        <v>24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58"/>
      <c r="AM11" s="63"/>
      <c r="AN11" s="10"/>
      <c r="AO11" s="10"/>
      <c r="AP11" s="10"/>
      <c r="AQ11" s="10"/>
      <c r="AR11" s="106" t="s">
        <v>90</v>
      </c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>
      <c r="A12" s="10" t="s">
        <v>84</v>
      </c>
      <c r="B12" s="10" t="s">
        <v>68</v>
      </c>
      <c r="C12" s="10" t="s">
        <v>85</v>
      </c>
      <c r="D12" s="20" t="s">
        <v>91</v>
      </c>
      <c r="E12" s="11" t="s">
        <v>92</v>
      </c>
      <c r="F12" s="11"/>
      <c r="G12" s="5" t="s">
        <v>93</v>
      </c>
      <c r="H12" s="11"/>
      <c r="I12" s="10" t="s">
        <v>74</v>
      </c>
      <c r="J12" s="87"/>
      <c r="K12" s="10" t="s">
        <v>75</v>
      </c>
      <c r="L12" s="10" t="s">
        <v>82</v>
      </c>
      <c r="M12" s="10" t="s">
        <v>66</v>
      </c>
      <c r="N12" s="13">
        <v>834918906</v>
      </c>
      <c r="O12" s="18">
        <v>46022</v>
      </c>
      <c r="P12" s="16">
        <v>46087</v>
      </c>
      <c r="Q12" s="16"/>
      <c r="R12" s="16"/>
      <c r="S12" s="10"/>
      <c r="T12" s="10"/>
      <c r="U12" s="10"/>
      <c r="V12" s="10"/>
      <c r="W12" s="10"/>
      <c r="X12" s="52"/>
      <c r="Y12" s="49" t="s">
        <v>77</v>
      </c>
      <c r="Z12" s="10">
        <v>24</v>
      </c>
      <c r="AA12" s="10" t="s">
        <v>78</v>
      </c>
      <c r="AB12" s="10"/>
      <c r="AC12" s="10"/>
      <c r="AD12" s="10"/>
      <c r="AE12" s="10"/>
      <c r="AF12" s="10"/>
      <c r="AG12" s="10"/>
      <c r="AH12" s="15"/>
      <c r="AI12" s="10"/>
      <c r="AJ12" s="10"/>
      <c r="AK12" s="10"/>
      <c r="AL12" s="58"/>
      <c r="AM12" s="63"/>
      <c r="AN12" s="10"/>
      <c r="AO12" s="10"/>
      <c r="AP12" s="10" t="s">
        <v>60</v>
      </c>
      <c r="AQ12" s="10" t="s">
        <v>60</v>
      </c>
      <c r="AR12" s="10" t="s">
        <v>78</v>
      </c>
      <c r="AS12" s="10"/>
      <c r="AT12" s="10"/>
      <c r="AU12" s="10"/>
      <c r="AV12" s="10"/>
      <c r="AW12" s="10"/>
      <c r="AX12" s="10" t="s">
        <v>60</v>
      </c>
      <c r="AY12" s="10" t="s">
        <v>60</v>
      </c>
      <c r="AZ12" s="10" t="s">
        <v>78</v>
      </c>
      <c r="BA12" s="10"/>
    </row>
    <row r="13" spans="1:53" ht="30" hidden="1">
      <c r="A13" s="10" t="s">
        <v>84</v>
      </c>
      <c r="B13" s="10" t="s">
        <v>94</v>
      </c>
      <c r="C13" s="10" t="s">
        <v>95</v>
      </c>
      <c r="D13" s="20" t="s">
        <v>96</v>
      </c>
      <c r="E13" s="11" t="s">
        <v>97</v>
      </c>
      <c r="F13" s="10" t="s">
        <v>98</v>
      </c>
      <c r="G13" s="5" t="s">
        <v>99</v>
      </c>
      <c r="H13" s="10"/>
      <c r="I13" s="10" t="s">
        <v>63</v>
      </c>
      <c r="J13" s="72" t="s">
        <v>100</v>
      </c>
      <c r="K13" s="10" t="s">
        <v>101</v>
      </c>
      <c r="L13" s="10" t="s">
        <v>102</v>
      </c>
      <c r="M13" s="10" t="s">
        <v>66</v>
      </c>
      <c r="N13" s="13">
        <v>922222062</v>
      </c>
      <c r="O13" s="18">
        <v>46022</v>
      </c>
      <c r="P13" s="16">
        <v>46073</v>
      </c>
      <c r="Q13" s="16"/>
      <c r="R13" s="16"/>
      <c r="S13" s="10"/>
      <c r="T13" s="10"/>
      <c r="U13" s="10"/>
      <c r="V13" s="10"/>
      <c r="W13" s="10"/>
      <c r="X13" s="52"/>
      <c r="Y13" s="49" t="s">
        <v>77</v>
      </c>
      <c r="Z13" s="15">
        <v>21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58"/>
      <c r="AM13" s="64" t="s">
        <v>79</v>
      </c>
      <c r="AN13" s="10" t="s">
        <v>60</v>
      </c>
      <c r="AO13" s="10"/>
      <c r="AP13" s="10" t="s">
        <v>60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hidden="1">
      <c r="A14" s="10" t="s">
        <v>84</v>
      </c>
      <c r="B14" s="10" t="s">
        <v>68</v>
      </c>
      <c r="C14" s="10" t="s">
        <v>60</v>
      </c>
      <c r="D14" s="20" t="s">
        <v>103</v>
      </c>
      <c r="E14" s="11"/>
      <c r="F14" s="10"/>
      <c r="G14" s="5" t="s">
        <v>104</v>
      </c>
      <c r="H14" s="10"/>
      <c r="I14" s="10" t="s">
        <v>105</v>
      </c>
      <c r="J14" s="87"/>
      <c r="K14" s="10" t="s">
        <v>101</v>
      </c>
      <c r="L14" s="10" t="s">
        <v>65</v>
      </c>
      <c r="M14" s="10" t="s">
        <v>66</v>
      </c>
      <c r="N14" s="13">
        <v>334914785</v>
      </c>
      <c r="O14" s="18">
        <v>46203</v>
      </c>
      <c r="P14" s="16">
        <v>46233</v>
      </c>
      <c r="Q14" s="16"/>
      <c r="R14" s="16"/>
      <c r="S14" s="10"/>
      <c r="T14" s="10"/>
      <c r="U14" s="10"/>
      <c r="V14" s="10"/>
      <c r="W14" s="10"/>
      <c r="X14" s="52"/>
      <c r="Y14" s="49" t="s">
        <v>77</v>
      </c>
      <c r="Z14" s="10"/>
      <c r="AA14" s="94" t="s">
        <v>106</v>
      </c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3"/>
      <c r="AM14" s="63" t="s">
        <v>107</v>
      </c>
      <c r="AN14" s="10" t="s">
        <v>108</v>
      </c>
      <c r="AO14" s="10"/>
      <c r="AP14" s="10" t="s">
        <v>78</v>
      </c>
      <c r="AQ14" s="10" t="s">
        <v>60</v>
      </c>
      <c r="AR14" s="10"/>
      <c r="AS14" s="10"/>
      <c r="AT14" s="10"/>
      <c r="AU14" s="10"/>
      <c r="AV14" s="10"/>
      <c r="AW14" s="10"/>
      <c r="AX14" s="10" t="s">
        <v>60</v>
      </c>
      <c r="AY14" s="10" t="s">
        <v>60</v>
      </c>
      <c r="AZ14" s="10" t="s">
        <v>60</v>
      </c>
      <c r="BA14" s="10"/>
    </row>
    <row r="15" spans="1:53" ht="45" hidden="1">
      <c r="A15" s="10" t="s">
        <v>58</v>
      </c>
      <c r="B15" s="10" t="s">
        <v>68</v>
      </c>
      <c r="C15" s="10" t="s">
        <v>60</v>
      </c>
      <c r="D15" s="20" t="s">
        <v>109</v>
      </c>
      <c r="E15" s="11"/>
      <c r="F15" s="11"/>
      <c r="G15" s="5" t="s">
        <v>110</v>
      </c>
      <c r="H15" s="11"/>
      <c r="I15" s="10" t="s">
        <v>63</v>
      </c>
      <c r="J15" s="87" t="s">
        <v>111</v>
      </c>
      <c r="K15" s="10" t="s">
        <v>101</v>
      </c>
      <c r="L15" s="10" t="s">
        <v>82</v>
      </c>
      <c r="M15" s="10" t="s">
        <v>66</v>
      </c>
      <c r="N15" s="19">
        <v>799084835</v>
      </c>
      <c r="O15" s="18">
        <v>46295</v>
      </c>
      <c r="P15" s="16">
        <f>O15+30</f>
        <v>46325</v>
      </c>
      <c r="Q15" s="16"/>
      <c r="R15" s="16"/>
      <c r="S15" s="10"/>
      <c r="T15" s="10"/>
      <c r="U15" s="10"/>
      <c r="V15" s="10"/>
      <c r="W15" s="10"/>
      <c r="X15" s="52"/>
      <c r="Y15" s="49" t="s">
        <v>77</v>
      </c>
      <c r="Z15" s="10">
        <v>24</v>
      </c>
      <c r="AA15" s="10" t="s">
        <v>112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58"/>
      <c r="AM15" s="63"/>
      <c r="AN15" s="10"/>
      <c r="AO15" s="10"/>
      <c r="AP15" s="10"/>
      <c r="AQ15" s="10" t="s">
        <v>60</v>
      </c>
      <c r="AR15" s="10"/>
      <c r="AS15" s="10"/>
      <c r="AT15" s="10"/>
      <c r="AU15" s="10"/>
      <c r="AV15" s="10"/>
      <c r="AW15" s="10"/>
      <c r="AX15" s="10" t="s">
        <v>60</v>
      </c>
      <c r="AY15" s="10" t="s">
        <v>60</v>
      </c>
      <c r="AZ15" s="10" t="s">
        <v>78</v>
      </c>
      <c r="BA15" s="10"/>
    </row>
    <row r="16" spans="1:53" hidden="1">
      <c r="A16" s="10" t="s">
        <v>58</v>
      </c>
      <c r="B16" s="10" t="s">
        <v>59</v>
      </c>
      <c r="C16" s="10" t="s">
        <v>60</v>
      </c>
      <c r="D16" s="11" t="s">
        <v>113</v>
      </c>
      <c r="E16" s="11"/>
      <c r="F16" s="10"/>
      <c r="G16" s="5"/>
      <c r="H16" s="10"/>
      <c r="I16" s="10"/>
      <c r="J16" s="70" t="s">
        <v>114</v>
      </c>
      <c r="K16" s="10" t="s">
        <v>64</v>
      </c>
      <c r="L16" s="10" t="s">
        <v>82</v>
      </c>
      <c r="M16" s="10" t="s">
        <v>66</v>
      </c>
      <c r="N16" s="13">
        <v>493187454</v>
      </c>
      <c r="O16" s="18">
        <v>46022</v>
      </c>
      <c r="P16" s="16"/>
      <c r="Q16" s="16"/>
      <c r="R16" s="24"/>
      <c r="S16" s="10"/>
      <c r="T16" s="10"/>
      <c r="U16" s="10"/>
      <c r="V16" s="10"/>
      <c r="W16" s="10"/>
      <c r="X16" s="52"/>
      <c r="Y16" s="49" t="s">
        <v>77</v>
      </c>
      <c r="Z16" s="15">
        <v>21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58"/>
      <c r="AM16" s="63"/>
      <c r="AN16" s="10"/>
      <c r="AO16" s="10"/>
      <c r="AP16" s="10"/>
      <c r="AQ16" s="10"/>
      <c r="AR16" s="10"/>
      <c r="AS16" s="10"/>
      <c r="AT16" s="10"/>
      <c r="AU16" s="25"/>
      <c r="AV16" s="10"/>
      <c r="AW16" s="10"/>
      <c r="AX16" s="10"/>
      <c r="AY16" s="10"/>
      <c r="AZ16" s="10"/>
      <c r="BA16" s="10"/>
    </row>
    <row r="17" spans="1:53" hidden="1">
      <c r="A17" s="10" t="s">
        <v>58</v>
      </c>
      <c r="B17" s="10" t="s">
        <v>59</v>
      </c>
      <c r="C17" s="10" t="s">
        <v>60</v>
      </c>
      <c r="D17" s="11" t="s">
        <v>115</v>
      </c>
      <c r="E17" s="11"/>
      <c r="F17" s="10"/>
      <c r="G17" s="5" t="s">
        <v>116</v>
      </c>
      <c r="H17" s="10"/>
      <c r="I17" s="10"/>
      <c r="J17" s="70" t="s">
        <v>117</v>
      </c>
      <c r="K17" s="10" t="s">
        <v>64</v>
      </c>
      <c r="L17" s="10" t="s">
        <v>65</v>
      </c>
      <c r="M17" s="10" t="s">
        <v>66</v>
      </c>
      <c r="N17" s="13">
        <v>889359279</v>
      </c>
      <c r="O17" s="18">
        <v>46022</v>
      </c>
      <c r="P17" s="16">
        <v>46112</v>
      </c>
      <c r="Q17" s="16"/>
      <c r="R17" s="16"/>
      <c r="S17" s="10"/>
      <c r="T17" s="10"/>
      <c r="U17" s="10"/>
      <c r="V17" s="10"/>
      <c r="W17" s="10"/>
      <c r="X17" s="52"/>
      <c r="Y17" s="49" t="s">
        <v>71</v>
      </c>
      <c r="Z17" s="15"/>
      <c r="AA17" s="10" t="s">
        <v>60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58"/>
      <c r="AM17" s="63"/>
      <c r="AN17" s="10"/>
      <c r="AO17" s="10"/>
      <c r="AP17" s="10"/>
      <c r="AQ17" s="10"/>
      <c r="AR17" s="26"/>
      <c r="AS17" s="10"/>
      <c r="AT17" s="10"/>
      <c r="AU17" s="10"/>
      <c r="AV17" s="10"/>
      <c r="AW17" s="15"/>
      <c r="AX17" s="10"/>
      <c r="AY17" s="10"/>
      <c r="AZ17" s="10"/>
      <c r="BA17" s="10"/>
    </row>
    <row r="18" spans="1:53" hidden="1">
      <c r="A18" s="10" t="s">
        <v>58</v>
      </c>
      <c r="B18" s="10" t="s">
        <v>59</v>
      </c>
      <c r="C18" s="10" t="s">
        <v>60</v>
      </c>
      <c r="D18" s="11" t="s">
        <v>118</v>
      </c>
      <c r="E18" s="11"/>
      <c r="F18" s="11"/>
      <c r="G18" s="5"/>
      <c r="H18" s="11" t="s">
        <v>119</v>
      </c>
      <c r="I18" s="10"/>
      <c r="J18" s="70"/>
      <c r="K18" s="10" t="s">
        <v>64</v>
      </c>
      <c r="L18" s="10" t="s">
        <v>120</v>
      </c>
      <c r="M18" s="10" t="s">
        <v>66</v>
      </c>
      <c r="N18" s="13">
        <v>845012699</v>
      </c>
      <c r="O18" s="18">
        <v>46022</v>
      </c>
      <c r="P18" s="16" t="s">
        <v>121</v>
      </c>
      <c r="Q18" s="16"/>
      <c r="R18" s="17"/>
      <c r="S18" s="10"/>
      <c r="T18" s="10"/>
      <c r="U18" s="10"/>
      <c r="V18" s="10"/>
      <c r="W18" s="10"/>
      <c r="X18" s="52"/>
      <c r="Y18" s="49" t="s">
        <v>77</v>
      </c>
      <c r="Z18" s="15">
        <v>24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58"/>
      <c r="AM18" s="63"/>
      <c r="AN18" s="10"/>
      <c r="AO18" s="10"/>
      <c r="AP18" s="10"/>
      <c r="AQ18" s="10"/>
      <c r="AR18" s="10"/>
      <c r="AS18" s="10"/>
      <c r="AT18" s="10"/>
      <c r="AU18" s="10"/>
      <c r="AV18" s="10"/>
      <c r="AW18" s="15"/>
      <c r="AX18" s="10"/>
      <c r="AY18" s="10"/>
      <c r="AZ18" s="10"/>
      <c r="BA18" s="10"/>
    </row>
    <row r="19" spans="1:53">
      <c r="A19" s="10" t="s">
        <v>84</v>
      </c>
      <c r="B19" s="10" t="s">
        <v>68</v>
      </c>
      <c r="C19" s="10" t="s">
        <v>85</v>
      </c>
      <c r="D19" s="11" t="s">
        <v>122</v>
      </c>
      <c r="E19" s="11" t="s">
        <v>92</v>
      </c>
      <c r="F19" s="11"/>
      <c r="G19" s="101" t="s">
        <v>93</v>
      </c>
      <c r="H19" s="11"/>
      <c r="I19" s="10" t="s">
        <v>74</v>
      </c>
      <c r="J19" s="87"/>
      <c r="K19" s="10" t="s">
        <v>75</v>
      </c>
      <c r="L19" s="10" t="s">
        <v>120</v>
      </c>
      <c r="M19" s="10" t="s">
        <v>66</v>
      </c>
      <c r="N19" s="13">
        <v>498598028</v>
      </c>
      <c r="O19" s="18">
        <v>46022</v>
      </c>
      <c r="P19" s="16">
        <v>46087</v>
      </c>
      <c r="Q19" s="16"/>
      <c r="R19" s="16"/>
      <c r="S19" s="10"/>
      <c r="T19" s="10"/>
      <c r="U19" s="10"/>
      <c r="V19" s="10"/>
      <c r="W19" s="10"/>
      <c r="X19" s="52"/>
      <c r="Y19" s="49" t="s">
        <v>77</v>
      </c>
      <c r="Z19" s="10">
        <v>24</v>
      </c>
      <c r="AA19" s="10" t="s">
        <v>78</v>
      </c>
      <c r="AB19" s="10"/>
      <c r="AC19" s="10"/>
      <c r="AD19" s="10"/>
      <c r="AE19" s="10"/>
      <c r="AF19" s="10"/>
      <c r="AG19" s="10"/>
      <c r="AH19" s="15"/>
      <c r="AI19" s="10"/>
      <c r="AJ19" s="10"/>
      <c r="AK19" s="10"/>
      <c r="AL19" s="58"/>
      <c r="AM19" s="63"/>
      <c r="AN19" s="10"/>
      <c r="AO19" s="10"/>
      <c r="AP19" s="10" t="s">
        <v>60</v>
      </c>
      <c r="AQ19" s="10" t="s">
        <v>60</v>
      </c>
      <c r="AR19" s="10" t="s">
        <v>78</v>
      </c>
      <c r="AS19" s="10"/>
      <c r="AT19" s="10"/>
      <c r="AU19" s="10"/>
      <c r="AV19" s="10"/>
      <c r="AW19" s="10"/>
      <c r="AX19" s="10" t="s">
        <v>60</v>
      </c>
      <c r="AY19" s="10" t="s">
        <v>60</v>
      </c>
      <c r="AZ19" s="10" t="s">
        <v>78</v>
      </c>
      <c r="BA19" s="10"/>
    </row>
    <row r="20" spans="1:53" hidden="1">
      <c r="A20" s="10" t="s">
        <v>58</v>
      </c>
      <c r="B20" s="10" t="s">
        <v>68</v>
      </c>
      <c r="C20" s="10" t="s">
        <v>59</v>
      </c>
      <c r="D20" s="11" t="s">
        <v>123</v>
      </c>
      <c r="E20" s="11"/>
      <c r="F20" s="10"/>
      <c r="G20" s="101" t="s">
        <v>124</v>
      </c>
      <c r="H20" s="10"/>
      <c r="I20" s="10" t="s">
        <v>74</v>
      </c>
      <c r="J20" s="87"/>
      <c r="K20" s="10" t="s">
        <v>75</v>
      </c>
      <c r="L20" s="10" t="s">
        <v>82</v>
      </c>
      <c r="M20" s="10" t="s">
        <v>66</v>
      </c>
      <c r="N20" s="13">
        <v>422921296</v>
      </c>
      <c r="O20" s="18">
        <v>46112</v>
      </c>
      <c r="P20" s="16">
        <f>O20+30</f>
        <v>46142</v>
      </c>
      <c r="Q20" s="16"/>
      <c r="R20" s="16"/>
      <c r="S20" s="10"/>
      <c r="T20" s="10"/>
      <c r="U20" s="10"/>
      <c r="V20" s="10"/>
      <c r="W20" s="10"/>
      <c r="X20" s="52"/>
      <c r="Y20" s="49" t="s">
        <v>67</v>
      </c>
      <c r="Z20" s="10">
        <v>21</v>
      </c>
      <c r="AA20" s="92"/>
      <c r="AB20" s="92"/>
      <c r="AC20" s="10"/>
      <c r="AD20" s="92"/>
      <c r="AE20" s="92"/>
      <c r="AF20" s="10"/>
      <c r="AG20" s="92"/>
      <c r="AH20" s="92"/>
      <c r="AI20" s="10"/>
      <c r="AJ20" s="92"/>
      <c r="AK20" s="92"/>
      <c r="AL20" s="58"/>
      <c r="AM20" s="63"/>
      <c r="AN20" s="10"/>
      <c r="AO20" s="10"/>
      <c r="AP20" s="10" t="s">
        <v>60</v>
      </c>
      <c r="AQ20" s="10" t="s">
        <v>60</v>
      </c>
      <c r="AR20" s="10"/>
      <c r="AS20" s="10"/>
      <c r="AT20" s="11"/>
      <c r="AU20" s="11"/>
      <c r="AV20" s="11"/>
      <c r="AW20" s="10"/>
      <c r="AX20" s="10" t="s">
        <v>60</v>
      </c>
      <c r="AY20" s="10" t="s">
        <v>60</v>
      </c>
      <c r="AZ20" s="10" t="s">
        <v>60</v>
      </c>
      <c r="BA20" s="10"/>
    </row>
    <row r="21" spans="1:53" ht="45">
      <c r="A21" s="10" t="s">
        <v>84</v>
      </c>
      <c r="B21" s="10" t="s">
        <v>94</v>
      </c>
      <c r="C21" s="10" t="s">
        <v>85</v>
      </c>
      <c r="D21" s="11" t="s">
        <v>125</v>
      </c>
      <c r="E21" s="11" t="s">
        <v>126</v>
      </c>
      <c r="F21" s="10"/>
      <c r="G21" s="5"/>
      <c r="H21" s="10"/>
      <c r="I21" s="10" t="s">
        <v>63</v>
      </c>
      <c r="J21" s="70" t="s">
        <v>127</v>
      </c>
      <c r="K21" s="10" t="s">
        <v>75</v>
      </c>
      <c r="L21" s="10" t="s">
        <v>65</v>
      </c>
      <c r="M21" s="10" t="s">
        <v>66</v>
      </c>
      <c r="N21" s="27">
        <v>306590233</v>
      </c>
      <c r="O21" s="18">
        <v>46295</v>
      </c>
      <c r="P21" s="16">
        <v>46325</v>
      </c>
      <c r="Q21" s="16"/>
      <c r="R21" s="11"/>
      <c r="S21" s="10"/>
      <c r="T21" s="10"/>
      <c r="U21" s="10"/>
      <c r="V21" s="10"/>
      <c r="W21" s="10"/>
      <c r="X21" s="52"/>
      <c r="Y21" s="49" t="s">
        <v>77</v>
      </c>
      <c r="Z21" s="15">
        <v>21</v>
      </c>
      <c r="AA21" s="15"/>
      <c r="AB21" s="15"/>
      <c r="AC21" s="15"/>
      <c r="AD21" s="10"/>
      <c r="AE21" s="10"/>
      <c r="AF21" s="15"/>
      <c r="AG21" s="15"/>
      <c r="AH21" s="15"/>
      <c r="AI21" s="10"/>
      <c r="AJ21" s="10"/>
      <c r="AK21" s="10"/>
      <c r="AL21" s="59"/>
      <c r="AM21" s="64"/>
      <c r="AN21" s="10"/>
      <c r="AO21" s="10"/>
      <c r="AP21" s="10"/>
      <c r="AQ21" s="10"/>
      <c r="AR21" s="10" t="s">
        <v>78</v>
      </c>
      <c r="AS21" s="10" t="s">
        <v>78</v>
      </c>
      <c r="AT21" s="18"/>
      <c r="AU21" s="10"/>
      <c r="AV21" s="10"/>
      <c r="AW21" s="10"/>
      <c r="AX21" s="10"/>
      <c r="AY21" s="10"/>
      <c r="AZ21" s="13" t="s">
        <v>112</v>
      </c>
      <c r="BA21" s="10"/>
    </row>
    <row r="22" spans="1:53" hidden="1">
      <c r="A22" s="10" t="s">
        <v>58</v>
      </c>
      <c r="B22" s="10" t="s">
        <v>95</v>
      </c>
      <c r="C22" s="10" t="s">
        <v>95</v>
      </c>
      <c r="D22" s="11" t="s">
        <v>128</v>
      </c>
      <c r="E22" s="11"/>
      <c r="F22" s="10" t="s">
        <v>129</v>
      </c>
      <c r="G22" s="101" t="s">
        <v>130</v>
      </c>
      <c r="H22" s="10" t="s">
        <v>131</v>
      </c>
      <c r="I22" s="10" t="s">
        <v>63</v>
      </c>
      <c r="J22" s="87"/>
      <c r="K22" s="10" t="s">
        <v>75</v>
      </c>
      <c r="L22" s="10" t="s">
        <v>82</v>
      </c>
      <c r="M22" s="10" t="s">
        <v>66</v>
      </c>
      <c r="N22" s="13">
        <v>753108117</v>
      </c>
      <c r="O22" s="18">
        <v>46022</v>
      </c>
      <c r="P22" s="16">
        <v>46122</v>
      </c>
      <c r="Q22" s="16"/>
      <c r="R22" s="18"/>
      <c r="S22" s="10"/>
      <c r="T22" s="10"/>
      <c r="U22" s="10"/>
      <c r="V22" s="10"/>
      <c r="W22" s="10"/>
      <c r="X22" s="52"/>
      <c r="Y22" s="49" t="s">
        <v>77</v>
      </c>
      <c r="Z22" s="15">
        <v>21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0"/>
      <c r="AL22" s="59"/>
      <c r="AM22" s="64" t="s">
        <v>132</v>
      </c>
      <c r="AN22" s="10"/>
      <c r="AO22" s="10"/>
      <c r="AP22" s="10" t="s">
        <v>60</v>
      </c>
      <c r="AQ22" s="10"/>
      <c r="AR22" s="28"/>
      <c r="AS22" s="28"/>
      <c r="AT22" s="28"/>
      <c r="AU22" s="28"/>
      <c r="AV22" s="18"/>
      <c r="AW22" s="10"/>
      <c r="AX22" s="10"/>
      <c r="AY22" s="10"/>
      <c r="AZ22" s="10"/>
      <c r="BA22" s="10"/>
    </row>
    <row r="23" spans="1:53">
      <c r="A23" s="10" t="s">
        <v>84</v>
      </c>
      <c r="B23" s="10" t="s">
        <v>94</v>
      </c>
      <c r="C23" s="10" t="s">
        <v>85</v>
      </c>
      <c r="D23" s="11" t="s">
        <v>133</v>
      </c>
      <c r="E23" s="11"/>
      <c r="F23" s="10"/>
      <c r="G23" s="101" t="s">
        <v>134</v>
      </c>
      <c r="H23" s="10"/>
      <c r="I23" s="10" t="s">
        <v>63</v>
      </c>
      <c r="J23" s="88"/>
      <c r="K23" s="10" t="s">
        <v>75</v>
      </c>
      <c r="L23" s="10" t="s">
        <v>65</v>
      </c>
      <c r="M23" s="10" t="s">
        <v>66</v>
      </c>
      <c r="N23" s="13">
        <v>393854039</v>
      </c>
      <c r="O23" s="18">
        <v>46022</v>
      </c>
      <c r="P23" s="16">
        <v>46087</v>
      </c>
      <c r="Q23" s="16"/>
      <c r="R23" s="18"/>
      <c r="S23" s="10"/>
      <c r="T23" s="10"/>
      <c r="U23" s="10"/>
      <c r="V23" s="10"/>
      <c r="W23" s="10"/>
      <c r="X23" s="52"/>
      <c r="Y23" s="49" t="s">
        <v>77</v>
      </c>
      <c r="Z23" s="15">
        <v>21</v>
      </c>
      <c r="AA23" s="10" t="s">
        <v>78</v>
      </c>
      <c r="AB23" s="15"/>
      <c r="AC23" s="15"/>
      <c r="AD23" s="15"/>
      <c r="AE23" s="15"/>
      <c r="AF23" s="15"/>
      <c r="AG23" s="15"/>
      <c r="AH23" s="15"/>
      <c r="AI23" s="10"/>
      <c r="AJ23" s="10"/>
      <c r="AK23" s="10"/>
      <c r="AL23" s="59"/>
      <c r="AM23" s="64"/>
      <c r="AN23" s="10"/>
      <c r="AO23" s="10"/>
      <c r="AP23" s="10" t="s">
        <v>60</v>
      </c>
      <c r="AQ23" s="10"/>
      <c r="AR23" s="10" t="s">
        <v>78</v>
      </c>
      <c r="AS23" s="18"/>
      <c r="AT23" s="10"/>
      <c r="AU23" s="10"/>
      <c r="AV23" s="10"/>
      <c r="AW23" s="10"/>
      <c r="AX23" s="10"/>
      <c r="AY23" s="10"/>
      <c r="AZ23" s="15" t="s">
        <v>135</v>
      </c>
      <c r="BA23" s="10"/>
    </row>
    <row r="24" spans="1:53" hidden="1">
      <c r="A24" s="10" t="s">
        <v>58</v>
      </c>
      <c r="B24" s="10" t="s">
        <v>94</v>
      </c>
      <c r="C24" s="10" t="s">
        <v>59</v>
      </c>
      <c r="D24" s="17" t="s">
        <v>136</v>
      </c>
      <c r="E24" s="11"/>
      <c r="F24" s="10"/>
      <c r="G24" s="101" t="s">
        <v>137</v>
      </c>
      <c r="H24" s="10"/>
      <c r="I24" s="10"/>
      <c r="J24" s="70"/>
      <c r="K24" s="10" t="s">
        <v>64</v>
      </c>
      <c r="L24" s="10" t="s">
        <v>82</v>
      </c>
      <c r="M24" s="10" t="s">
        <v>66</v>
      </c>
      <c r="N24" s="13">
        <v>503000119</v>
      </c>
      <c r="O24" s="18">
        <v>46203</v>
      </c>
      <c r="P24" s="16">
        <v>46233</v>
      </c>
      <c r="Q24" s="16"/>
      <c r="R24" s="17"/>
      <c r="S24" s="10"/>
      <c r="T24" s="10"/>
      <c r="U24" s="10"/>
      <c r="V24" s="10"/>
      <c r="W24" s="10"/>
      <c r="X24" s="52"/>
      <c r="Y24" s="49" t="s">
        <v>67</v>
      </c>
      <c r="Z24" s="15">
        <v>21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58"/>
      <c r="AM24" s="63"/>
      <c r="AN24" s="10" t="s">
        <v>79</v>
      </c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hidden="1">
      <c r="A25" s="10" t="s">
        <v>84</v>
      </c>
      <c r="B25" s="10" t="s">
        <v>60</v>
      </c>
      <c r="C25" s="10" t="s">
        <v>95</v>
      </c>
      <c r="D25" s="11" t="s">
        <v>138</v>
      </c>
      <c r="E25" s="11" t="s">
        <v>139</v>
      </c>
      <c r="F25" s="11" t="s">
        <v>140</v>
      </c>
      <c r="G25" s="101" t="s">
        <v>141</v>
      </c>
      <c r="H25" s="11"/>
      <c r="I25" s="10" t="s">
        <v>142</v>
      </c>
      <c r="J25" s="87"/>
      <c r="K25" s="10" t="s">
        <v>101</v>
      </c>
      <c r="L25" s="10" t="s">
        <v>65</v>
      </c>
      <c r="M25" s="10" t="s">
        <v>66</v>
      </c>
      <c r="N25" s="13">
        <v>420791733</v>
      </c>
      <c r="O25" s="18">
        <v>46022</v>
      </c>
      <c r="P25" s="16">
        <v>46087</v>
      </c>
      <c r="Q25" s="16"/>
      <c r="R25" s="18"/>
      <c r="S25" s="10"/>
      <c r="T25" s="10"/>
      <c r="U25" s="10"/>
      <c r="V25" s="10"/>
      <c r="W25" s="10"/>
      <c r="X25" s="52"/>
      <c r="Y25" s="49" t="s">
        <v>77</v>
      </c>
      <c r="Z25" s="15">
        <v>24</v>
      </c>
      <c r="AA25" s="10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59"/>
      <c r="AM25" s="64" t="s">
        <v>143</v>
      </c>
      <c r="AN25" s="10"/>
      <c r="AO25" s="10"/>
      <c r="AP25" s="10" t="s">
        <v>60</v>
      </c>
      <c r="AQ25" s="10"/>
      <c r="AR25" s="28"/>
      <c r="AS25" s="28"/>
      <c r="AT25" s="28"/>
      <c r="AU25" s="28"/>
      <c r="AV25" s="10"/>
      <c r="AW25" s="10"/>
      <c r="AX25" s="10"/>
      <c r="AY25" s="29"/>
      <c r="AZ25" s="29"/>
      <c r="BA25" s="10"/>
    </row>
    <row r="26" spans="1:53" hidden="1">
      <c r="A26" s="10" t="s">
        <v>58</v>
      </c>
      <c r="B26" s="10" t="s">
        <v>59</v>
      </c>
      <c r="C26" s="10" t="s">
        <v>60</v>
      </c>
      <c r="D26" s="11" t="s">
        <v>144</v>
      </c>
      <c r="E26" s="11"/>
      <c r="F26" s="10"/>
      <c r="G26" s="101" t="s">
        <v>145</v>
      </c>
      <c r="H26" s="10"/>
      <c r="I26" s="10"/>
      <c r="J26" s="70"/>
      <c r="K26" s="10" t="s">
        <v>64</v>
      </c>
      <c r="L26" s="10" t="s">
        <v>65</v>
      </c>
      <c r="M26" s="10" t="s">
        <v>66</v>
      </c>
      <c r="N26" s="13">
        <v>829831874</v>
      </c>
      <c r="O26" s="18">
        <v>46022</v>
      </c>
      <c r="P26" s="16"/>
      <c r="Q26" s="16"/>
      <c r="R26" s="24"/>
      <c r="S26" s="10"/>
      <c r="T26" s="10"/>
      <c r="U26" s="10"/>
      <c r="V26" s="10"/>
      <c r="W26" s="10"/>
      <c r="X26" s="52"/>
      <c r="Y26" s="49" t="s">
        <v>146</v>
      </c>
      <c r="Z26" s="15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58"/>
      <c r="AM26" s="63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 t="s">
        <v>78</v>
      </c>
    </row>
    <row r="27" spans="1:53">
      <c r="A27" s="10" t="s">
        <v>84</v>
      </c>
      <c r="B27" s="10" t="s">
        <v>94</v>
      </c>
      <c r="C27" s="10" t="s">
        <v>85</v>
      </c>
      <c r="D27" s="11" t="s">
        <v>147</v>
      </c>
      <c r="E27" s="11" t="s">
        <v>148</v>
      </c>
      <c r="F27" s="11"/>
      <c r="G27" s="101" t="s">
        <v>149</v>
      </c>
      <c r="H27" s="11"/>
      <c r="I27" s="10" t="s">
        <v>63</v>
      </c>
      <c r="J27" s="89"/>
      <c r="K27" s="10" t="s">
        <v>64</v>
      </c>
      <c r="L27" s="10" t="s">
        <v>65</v>
      </c>
      <c r="M27" s="10" t="s">
        <v>66</v>
      </c>
      <c r="N27" s="13">
        <v>807598305</v>
      </c>
      <c r="O27" s="18">
        <v>46022</v>
      </c>
      <c r="P27" s="16">
        <v>46098</v>
      </c>
      <c r="Q27" s="16"/>
      <c r="R27" s="18"/>
      <c r="S27" s="10"/>
      <c r="T27" s="10"/>
      <c r="U27" s="10"/>
      <c r="V27" s="10"/>
      <c r="W27" s="10"/>
      <c r="X27" s="52"/>
      <c r="Y27" s="49" t="s">
        <v>77</v>
      </c>
      <c r="Z27" s="15">
        <v>24</v>
      </c>
      <c r="AA27" s="10" t="s">
        <v>78</v>
      </c>
      <c r="AB27" s="15"/>
      <c r="AC27" s="15"/>
      <c r="AD27" s="15"/>
      <c r="AE27" s="15"/>
      <c r="AF27" s="15"/>
      <c r="AG27" s="15"/>
      <c r="AH27" s="10"/>
      <c r="AI27" s="10"/>
      <c r="AJ27" s="10"/>
      <c r="AK27" s="10"/>
      <c r="AL27" s="58"/>
      <c r="AM27" s="63"/>
      <c r="AN27" s="10"/>
      <c r="AO27" s="10"/>
      <c r="AP27" s="10"/>
      <c r="AQ27" s="10"/>
      <c r="AR27" s="10" t="s">
        <v>60</v>
      </c>
      <c r="AS27" s="30"/>
      <c r="AT27" s="30"/>
      <c r="AU27" s="30"/>
      <c r="AV27" s="10"/>
      <c r="AW27" s="10"/>
      <c r="AX27" s="10"/>
      <c r="AY27" s="10"/>
      <c r="AZ27" s="10"/>
      <c r="BA27" s="10"/>
    </row>
    <row r="28" spans="1:53" hidden="1">
      <c r="A28" s="10" t="s">
        <v>58</v>
      </c>
      <c r="B28" s="10" t="s">
        <v>68</v>
      </c>
      <c r="C28" s="10" t="s">
        <v>60</v>
      </c>
      <c r="D28" s="11" t="s">
        <v>150</v>
      </c>
      <c r="E28" s="11" t="s">
        <v>151</v>
      </c>
      <c r="F28" s="11"/>
      <c r="G28" s="5"/>
      <c r="H28" s="11"/>
      <c r="I28" s="10" t="s">
        <v>74</v>
      </c>
      <c r="J28" s="87"/>
      <c r="K28" s="10" t="s">
        <v>75</v>
      </c>
      <c r="L28" s="10"/>
      <c r="M28" s="10"/>
      <c r="N28" s="13"/>
      <c r="O28" s="18">
        <v>46022</v>
      </c>
      <c r="P28" s="16">
        <v>46080</v>
      </c>
      <c r="Q28" s="16" t="s">
        <v>152</v>
      </c>
      <c r="R28" s="16"/>
      <c r="S28" s="10"/>
      <c r="T28" s="10"/>
      <c r="U28" s="10"/>
      <c r="V28" s="10"/>
      <c r="W28" s="10"/>
      <c r="X28" s="52"/>
      <c r="Y28" s="49" t="s">
        <v>77</v>
      </c>
      <c r="Z28" s="10">
        <v>24</v>
      </c>
      <c r="AA28" s="10" t="s">
        <v>78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58"/>
      <c r="AM28" s="63"/>
      <c r="AN28" s="10" t="s">
        <v>60</v>
      </c>
      <c r="AO28" s="10"/>
      <c r="AP28" s="10"/>
      <c r="AQ28" s="10" t="s">
        <v>60</v>
      </c>
      <c r="AR28" s="10"/>
      <c r="AS28" s="10"/>
      <c r="AT28" s="11"/>
      <c r="AU28" s="11"/>
      <c r="AV28" s="11"/>
      <c r="AW28" s="10"/>
      <c r="AX28" s="10"/>
      <c r="AY28" s="10"/>
      <c r="AZ28" s="10" t="s">
        <v>60</v>
      </c>
      <c r="BA28" s="10"/>
    </row>
    <row r="29" spans="1:53">
      <c r="A29" s="10" t="s">
        <v>84</v>
      </c>
      <c r="B29" s="10" t="s">
        <v>94</v>
      </c>
      <c r="C29" s="10" t="s">
        <v>85</v>
      </c>
      <c r="D29" s="22" t="s">
        <v>153</v>
      </c>
      <c r="E29" s="22" t="s">
        <v>154</v>
      </c>
      <c r="F29" s="10"/>
      <c r="G29" s="101" t="s">
        <v>155</v>
      </c>
      <c r="H29" s="10"/>
      <c r="I29" s="10" t="s">
        <v>63</v>
      </c>
      <c r="J29" s="89"/>
      <c r="K29" s="10" t="s">
        <v>64</v>
      </c>
      <c r="L29" s="10" t="s">
        <v>120</v>
      </c>
      <c r="M29" s="10" t="s">
        <v>66</v>
      </c>
      <c r="N29" s="13">
        <v>535144331</v>
      </c>
      <c r="O29" s="18">
        <v>46022</v>
      </c>
      <c r="P29" s="16">
        <v>46084</v>
      </c>
      <c r="Q29" s="16"/>
      <c r="R29" s="31"/>
      <c r="S29" s="10"/>
      <c r="T29" s="10"/>
      <c r="U29" s="10"/>
      <c r="V29" s="10"/>
      <c r="W29" s="10"/>
      <c r="X29" s="52"/>
      <c r="Y29" s="49" t="s">
        <v>71</v>
      </c>
      <c r="Z29" s="10">
        <v>16</v>
      </c>
      <c r="AA29" s="10" t="s">
        <v>78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58"/>
      <c r="AM29" s="63"/>
      <c r="AN29" s="10"/>
      <c r="AO29" s="10"/>
      <c r="AP29" s="10"/>
      <c r="AQ29" s="10"/>
      <c r="AR29" s="10" t="s">
        <v>60</v>
      </c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3" ht="33.75" hidden="1">
      <c r="A30" s="10" t="s">
        <v>58</v>
      </c>
      <c r="B30" s="10" t="s">
        <v>59</v>
      </c>
      <c r="C30" s="10" t="s">
        <v>60</v>
      </c>
      <c r="D30" s="11" t="s">
        <v>156</v>
      </c>
      <c r="E30" s="11"/>
      <c r="F30" s="11"/>
      <c r="G30" s="101" t="s">
        <v>157</v>
      </c>
      <c r="H30" s="11"/>
      <c r="I30" s="10"/>
      <c r="J30" s="71" t="s">
        <v>158</v>
      </c>
      <c r="K30" s="10" t="s">
        <v>64</v>
      </c>
      <c r="L30" s="10" t="s">
        <v>65</v>
      </c>
      <c r="M30" s="10" t="s">
        <v>66</v>
      </c>
      <c r="N30" s="13">
        <v>910088046</v>
      </c>
      <c r="O30" s="18">
        <v>46022</v>
      </c>
      <c r="P30" s="16">
        <v>46059</v>
      </c>
      <c r="Q30" s="16"/>
      <c r="R30" s="21"/>
      <c r="S30" s="10"/>
      <c r="T30" s="10"/>
      <c r="U30" s="10"/>
      <c r="V30" s="10"/>
      <c r="W30" s="10"/>
      <c r="X30" s="52"/>
      <c r="Y30" s="49" t="s">
        <v>77</v>
      </c>
      <c r="Z30" s="15">
        <v>24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58"/>
      <c r="AM30" s="63"/>
      <c r="AN30" s="18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 spans="1:53" ht="24" hidden="1">
      <c r="A31" s="10" t="s">
        <v>58</v>
      </c>
      <c r="B31" s="10" t="s">
        <v>59</v>
      </c>
      <c r="C31" s="10" t="s">
        <v>60</v>
      </c>
      <c r="D31" s="11" t="s">
        <v>159</v>
      </c>
      <c r="E31" s="11"/>
      <c r="F31" s="10"/>
      <c r="G31" s="5" t="e">
        <f>VLOOKUP(D31,#REF!,7,FALSE)</f>
        <v>#REF!</v>
      </c>
      <c r="H31" s="10"/>
      <c r="I31" s="10"/>
      <c r="J31" s="90" t="s">
        <v>160</v>
      </c>
      <c r="K31" s="10" t="s">
        <v>64</v>
      </c>
      <c r="L31" s="10" t="s">
        <v>161</v>
      </c>
      <c r="M31" s="10" t="s">
        <v>76</v>
      </c>
      <c r="N31" s="13">
        <v>524936341</v>
      </c>
      <c r="O31" s="18">
        <v>46022</v>
      </c>
      <c r="P31" s="16">
        <v>46081</v>
      </c>
      <c r="Q31" s="16"/>
      <c r="R31" s="21"/>
      <c r="S31" s="10"/>
      <c r="T31" s="10"/>
      <c r="U31" s="10"/>
      <c r="V31" s="10"/>
      <c r="W31" s="10"/>
      <c r="X31" s="52"/>
      <c r="Y31" s="49" t="s">
        <v>77</v>
      </c>
      <c r="Z31" s="15">
        <v>16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58"/>
      <c r="AM31" s="63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 spans="1:53" hidden="1">
      <c r="A32" s="10" t="s">
        <v>58</v>
      </c>
      <c r="B32" s="10" t="s">
        <v>68</v>
      </c>
      <c r="C32" s="10" t="s">
        <v>59</v>
      </c>
      <c r="D32" s="11" t="s">
        <v>162</v>
      </c>
      <c r="E32" s="11"/>
      <c r="F32" s="11"/>
      <c r="G32" s="101" t="s">
        <v>163</v>
      </c>
      <c r="H32" s="11" t="s">
        <v>164</v>
      </c>
      <c r="I32" s="10" t="s">
        <v>74</v>
      </c>
      <c r="J32" s="87" t="s">
        <v>165</v>
      </c>
      <c r="K32" s="10" t="s">
        <v>75</v>
      </c>
      <c r="L32" s="10" t="s">
        <v>65</v>
      </c>
      <c r="M32" s="10" t="s">
        <v>66</v>
      </c>
      <c r="N32" s="13">
        <v>828289215</v>
      </c>
      <c r="O32" s="18">
        <v>46022</v>
      </c>
      <c r="P32" s="16">
        <v>46143</v>
      </c>
      <c r="Q32" s="16"/>
      <c r="R32" s="16"/>
      <c r="S32" s="18"/>
      <c r="T32" s="18"/>
      <c r="U32" s="10"/>
      <c r="V32" s="10"/>
      <c r="W32" s="10"/>
      <c r="X32" s="52"/>
      <c r="Y32" s="49" t="s">
        <v>77</v>
      </c>
      <c r="Z32" s="10">
        <v>24</v>
      </c>
      <c r="AA32" s="10" t="s">
        <v>78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58"/>
      <c r="AM32" s="63"/>
      <c r="AN32" s="10" t="s">
        <v>79</v>
      </c>
      <c r="AO32" s="10"/>
      <c r="AP32" s="10" t="s">
        <v>78</v>
      </c>
      <c r="AQ32" s="10" t="s">
        <v>60</v>
      </c>
      <c r="AR32" s="10"/>
      <c r="AS32" s="10"/>
      <c r="AT32" s="11"/>
      <c r="AU32" s="11"/>
      <c r="AV32" s="11"/>
      <c r="AW32" s="10"/>
      <c r="AX32" s="10" t="s">
        <v>60</v>
      </c>
      <c r="AY32" s="10" t="s">
        <v>60</v>
      </c>
      <c r="AZ32" s="10" t="s">
        <v>60</v>
      </c>
      <c r="BA32" s="10"/>
    </row>
    <row r="33" spans="1:53" hidden="1">
      <c r="A33" s="10" t="s">
        <v>58</v>
      </c>
      <c r="B33" s="10" t="s">
        <v>68</v>
      </c>
      <c r="C33" s="10" t="s">
        <v>95</v>
      </c>
      <c r="D33" s="11" t="s">
        <v>166</v>
      </c>
      <c r="E33" s="11"/>
      <c r="F33" s="11" t="s">
        <v>167</v>
      </c>
      <c r="G33" s="101" t="s">
        <v>168</v>
      </c>
      <c r="H33" s="11" t="s">
        <v>169</v>
      </c>
      <c r="I33" s="10" t="s">
        <v>74</v>
      </c>
      <c r="J33" s="87"/>
      <c r="K33" s="10" t="s">
        <v>75</v>
      </c>
      <c r="L33" s="10" t="s">
        <v>65</v>
      </c>
      <c r="M33" s="10" t="s">
        <v>66</v>
      </c>
      <c r="N33" s="13">
        <v>889701173</v>
      </c>
      <c r="O33" s="18">
        <v>46295</v>
      </c>
      <c r="P33" s="16">
        <v>46325</v>
      </c>
      <c r="Q33" s="16"/>
      <c r="R33" s="16"/>
      <c r="S33" s="10"/>
      <c r="T33" s="10"/>
      <c r="U33" s="10"/>
      <c r="V33" s="10"/>
      <c r="W33" s="10"/>
      <c r="X33" s="52"/>
      <c r="Y33" s="49" t="s">
        <v>77</v>
      </c>
      <c r="Z33" s="10">
        <v>24</v>
      </c>
      <c r="AA33" s="10" t="s">
        <v>78</v>
      </c>
      <c r="AB33" s="10"/>
      <c r="AC33" s="10"/>
      <c r="AD33" s="10"/>
      <c r="AE33" s="10"/>
      <c r="AF33" s="10"/>
      <c r="AG33" s="10"/>
      <c r="AH33" s="15"/>
      <c r="AI33" s="10"/>
      <c r="AJ33" s="10"/>
      <c r="AK33" s="10"/>
      <c r="AL33" s="58"/>
      <c r="AM33" s="63" t="s">
        <v>132</v>
      </c>
      <c r="AN33" s="10"/>
      <c r="AO33" s="10"/>
      <c r="AP33" s="10" t="s">
        <v>60</v>
      </c>
      <c r="AQ33" s="10" t="s">
        <v>60</v>
      </c>
      <c r="AR33" s="10"/>
      <c r="AS33" s="10"/>
      <c r="AT33" s="10"/>
      <c r="AU33" s="10"/>
      <c r="AV33" s="10"/>
      <c r="AW33" s="10"/>
      <c r="AX33" s="10" t="s">
        <v>60</v>
      </c>
      <c r="AY33" s="10" t="s">
        <v>60</v>
      </c>
      <c r="AZ33" s="10" t="s">
        <v>78</v>
      </c>
      <c r="BA33" s="10"/>
    </row>
    <row r="34" spans="1:53" ht="45">
      <c r="A34" s="10" t="s">
        <v>84</v>
      </c>
      <c r="B34" s="10" t="s">
        <v>94</v>
      </c>
      <c r="C34" s="10" t="s">
        <v>85</v>
      </c>
      <c r="D34" s="32" t="s">
        <v>170</v>
      </c>
      <c r="E34" s="11" t="s">
        <v>171</v>
      </c>
      <c r="F34" s="10"/>
      <c r="G34" s="32" t="s">
        <v>172</v>
      </c>
      <c r="H34" s="10"/>
      <c r="I34" s="10" t="s">
        <v>142</v>
      </c>
      <c r="J34" s="72" t="s">
        <v>173</v>
      </c>
      <c r="K34" s="10" t="s">
        <v>174</v>
      </c>
      <c r="L34" s="10" t="s">
        <v>82</v>
      </c>
      <c r="M34" s="15" t="s">
        <v>76</v>
      </c>
      <c r="N34" s="13">
        <v>413216136</v>
      </c>
      <c r="O34" s="18">
        <v>46022</v>
      </c>
      <c r="P34" s="16">
        <v>46094</v>
      </c>
      <c r="Q34" s="16"/>
      <c r="R34" s="33"/>
      <c r="S34" s="10"/>
      <c r="T34" s="10"/>
      <c r="U34" s="10"/>
      <c r="V34" s="10"/>
      <c r="W34" s="10"/>
      <c r="X34" s="52"/>
      <c r="Y34" s="49" t="s">
        <v>71</v>
      </c>
      <c r="Z34" s="15">
        <v>16</v>
      </c>
      <c r="AA34" s="95" t="s">
        <v>175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58"/>
      <c r="AM34" s="63"/>
      <c r="AN34" s="10"/>
      <c r="AO34" s="10"/>
      <c r="AP34" s="10"/>
      <c r="AQ34" s="10"/>
      <c r="AR34" s="10" t="s">
        <v>60</v>
      </c>
      <c r="AS34" s="15"/>
      <c r="AT34" s="15"/>
      <c r="AU34" s="15"/>
      <c r="AV34" s="10"/>
      <c r="AW34" s="10"/>
      <c r="AX34" s="10"/>
      <c r="AY34" s="10"/>
      <c r="AZ34" s="10"/>
      <c r="BA34" s="10"/>
    </row>
    <row r="35" spans="1:53" hidden="1">
      <c r="A35" s="10" t="s">
        <v>58</v>
      </c>
      <c r="B35" s="10" t="s">
        <v>95</v>
      </c>
      <c r="C35" s="10" t="s">
        <v>95</v>
      </c>
      <c r="D35" s="17" t="s">
        <v>176</v>
      </c>
      <c r="E35" s="11"/>
      <c r="F35" s="11" t="s">
        <v>177</v>
      </c>
      <c r="G35" s="101" t="s">
        <v>178</v>
      </c>
      <c r="H35" s="11"/>
      <c r="I35" s="10"/>
      <c r="J35" s="87"/>
      <c r="K35" s="10" t="s">
        <v>64</v>
      </c>
      <c r="L35" s="10" t="s">
        <v>65</v>
      </c>
      <c r="M35" s="10" t="s">
        <v>66</v>
      </c>
      <c r="N35" s="13">
        <v>810516963</v>
      </c>
      <c r="O35" s="18">
        <v>46022</v>
      </c>
      <c r="P35" s="16">
        <v>46066</v>
      </c>
      <c r="Q35" s="16"/>
      <c r="R35" s="21"/>
      <c r="S35" s="10"/>
      <c r="T35" s="10"/>
      <c r="U35" s="10"/>
      <c r="V35" s="10"/>
      <c r="W35" s="10"/>
      <c r="X35" s="52"/>
      <c r="Y35" s="49" t="s">
        <v>77</v>
      </c>
      <c r="Z35" s="15">
        <v>24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59"/>
      <c r="AM35" s="64" t="s">
        <v>132</v>
      </c>
      <c r="AN35" s="10" t="s">
        <v>79</v>
      </c>
      <c r="AO35" s="10"/>
      <c r="AP35" s="10" t="s">
        <v>60</v>
      </c>
      <c r="AQ35" s="10" t="s">
        <v>60</v>
      </c>
      <c r="AR35" s="28"/>
      <c r="AS35" s="28"/>
      <c r="AT35" s="34"/>
      <c r="AU35" s="34"/>
      <c r="AV35" s="10"/>
      <c r="AW35" s="10"/>
      <c r="AX35" s="10"/>
      <c r="AY35" s="10"/>
      <c r="AZ35" s="10" t="s">
        <v>60</v>
      </c>
      <c r="BA35" s="10"/>
    </row>
    <row r="36" spans="1:53" hidden="1">
      <c r="A36" s="10" t="s">
        <v>58</v>
      </c>
      <c r="B36" s="10" t="s">
        <v>59</v>
      </c>
      <c r="C36" s="10" t="s">
        <v>60</v>
      </c>
      <c r="D36" s="11" t="s">
        <v>179</v>
      </c>
      <c r="E36" s="11"/>
      <c r="F36" s="11"/>
      <c r="G36" s="5"/>
      <c r="H36" s="11"/>
      <c r="I36" s="10"/>
      <c r="J36" s="87"/>
      <c r="K36" s="10" t="s">
        <v>64</v>
      </c>
      <c r="L36" s="10" t="s">
        <v>65</v>
      </c>
      <c r="M36" s="10" t="s">
        <v>66</v>
      </c>
      <c r="N36" s="13">
        <v>817629256</v>
      </c>
      <c r="O36" s="18">
        <v>46022</v>
      </c>
      <c r="P36" s="16"/>
      <c r="Q36" s="16"/>
      <c r="R36" s="24"/>
      <c r="S36" s="10"/>
      <c r="T36" s="10"/>
      <c r="U36" s="10"/>
      <c r="V36" s="10"/>
      <c r="W36" s="10"/>
      <c r="X36" s="52"/>
      <c r="Y36" s="49" t="s">
        <v>77</v>
      </c>
      <c r="Z36" s="15">
        <v>24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58"/>
      <c r="AM36" s="63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>
      <c r="A37" s="10" t="s">
        <v>84</v>
      </c>
      <c r="B37" s="10" t="s">
        <v>94</v>
      </c>
      <c r="C37" s="10" t="s">
        <v>85</v>
      </c>
      <c r="D37" s="11" t="s">
        <v>180</v>
      </c>
      <c r="E37" s="11" t="s">
        <v>181</v>
      </c>
      <c r="F37" s="10"/>
      <c r="G37" s="5"/>
      <c r="H37" s="10"/>
      <c r="I37" s="10" t="s">
        <v>63</v>
      </c>
      <c r="J37" s="87"/>
      <c r="K37" s="10" t="s">
        <v>182</v>
      </c>
      <c r="L37" s="10" t="s">
        <v>183</v>
      </c>
      <c r="M37" s="10" t="s">
        <v>66</v>
      </c>
      <c r="N37" s="13">
        <v>813750130</v>
      </c>
      <c r="O37" s="18">
        <v>46295</v>
      </c>
      <c r="P37" s="16">
        <v>46325</v>
      </c>
      <c r="Q37" s="16"/>
      <c r="R37" s="11"/>
      <c r="S37" s="10"/>
      <c r="T37" s="10"/>
      <c r="U37" s="10"/>
      <c r="V37" s="10"/>
      <c r="W37" s="10"/>
      <c r="X37" s="52"/>
      <c r="Y37" s="49" t="s">
        <v>77</v>
      </c>
      <c r="Z37" s="15">
        <v>21</v>
      </c>
      <c r="AA37" s="15"/>
      <c r="AB37" s="15"/>
      <c r="AC37" s="15"/>
      <c r="AD37" s="15"/>
      <c r="AE37" s="15"/>
      <c r="AF37" s="15"/>
      <c r="AG37" s="15"/>
      <c r="AH37" s="15"/>
      <c r="AI37" s="10"/>
      <c r="AJ37" s="10"/>
      <c r="AK37" s="10"/>
      <c r="AL37" s="59"/>
      <c r="AM37" s="64"/>
      <c r="AN37" s="10"/>
      <c r="AO37" s="35"/>
      <c r="AP37" s="10" t="s">
        <v>60</v>
      </c>
      <c r="AQ37" s="35">
        <v>45642</v>
      </c>
      <c r="AR37" s="104" t="s">
        <v>184</v>
      </c>
      <c r="AS37" s="18"/>
      <c r="AT37" s="10"/>
      <c r="AU37" s="10"/>
      <c r="AV37" s="35"/>
      <c r="AW37" s="10"/>
      <c r="AX37" s="10"/>
      <c r="AY37" s="10"/>
      <c r="AZ37" s="15" t="s">
        <v>185</v>
      </c>
      <c r="BA37" s="10"/>
    </row>
    <row r="38" spans="1:53" hidden="1">
      <c r="A38" s="10" t="s">
        <v>58</v>
      </c>
      <c r="B38" s="10" t="s">
        <v>59</v>
      </c>
      <c r="C38" s="10" t="s">
        <v>60</v>
      </c>
      <c r="D38" s="11" t="s">
        <v>186</v>
      </c>
      <c r="E38" s="11"/>
      <c r="F38" s="10"/>
      <c r="G38" s="5" t="e">
        <f>VLOOKUP(N38,#REF!,3,FALSE)</f>
        <v>#REF!</v>
      </c>
      <c r="H38" s="10"/>
      <c r="I38" s="10"/>
      <c r="J38" s="87"/>
      <c r="K38" s="10" t="s">
        <v>64</v>
      </c>
      <c r="L38" s="10" t="s">
        <v>187</v>
      </c>
      <c r="M38" s="10" t="s">
        <v>66</v>
      </c>
      <c r="N38" s="13">
        <v>881111249</v>
      </c>
      <c r="O38" s="18">
        <v>46022</v>
      </c>
      <c r="P38" s="16">
        <v>46081</v>
      </c>
      <c r="Q38" s="16"/>
      <c r="R38" s="21"/>
      <c r="S38" s="10"/>
      <c r="T38" s="10"/>
      <c r="U38" s="10"/>
      <c r="V38" s="10"/>
      <c r="W38" s="10"/>
      <c r="X38" s="52"/>
      <c r="Y38" s="49" t="s">
        <v>71</v>
      </c>
      <c r="Z38" s="15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58"/>
      <c r="AM38" s="63"/>
      <c r="AN38" s="10"/>
      <c r="AO38" s="10"/>
      <c r="AP38" s="10"/>
      <c r="AQ38" s="10"/>
      <c r="AR38" s="10"/>
      <c r="AS38" s="10"/>
      <c r="AT38" s="10"/>
      <c r="AU38" s="25"/>
      <c r="AV38" s="10"/>
      <c r="AW38" s="10"/>
      <c r="AX38" s="10"/>
      <c r="AY38" s="10"/>
      <c r="AZ38" s="10"/>
      <c r="BA38" s="10"/>
    </row>
    <row r="39" spans="1:53">
      <c r="A39" s="10" t="s">
        <v>84</v>
      </c>
      <c r="B39" s="10" t="s">
        <v>94</v>
      </c>
      <c r="C39" s="10" t="s">
        <v>85</v>
      </c>
      <c r="D39" s="11" t="s">
        <v>188</v>
      </c>
      <c r="E39" s="11"/>
      <c r="F39" s="11"/>
      <c r="G39" s="5"/>
      <c r="H39" s="11"/>
      <c r="I39" s="10" t="s">
        <v>74</v>
      </c>
      <c r="J39" s="89"/>
      <c r="K39" s="10"/>
      <c r="L39" s="10"/>
      <c r="M39" s="10" t="s">
        <v>76</v>
      </c>
      <c r="N39" s="13"/>
      <c r="O39" s="18">
        <v>46022</v>
      </c>
      <c r="P39" s="16">
        <v>46115</v>
      </c>
      <c r="Q39" s="16"/>
      <c r="R39" s="18"/>
      <c r="S39" s="10"/>
      <c r="T39" s="10"/>
      <c r="U39" s="10"/>
      <c r="V39" s="10"/>
      <c r="W39" s="10"/>
      <c r="X39" s="52"/>
      <c r="Y39" s="49" t="s">
        <v>77</v>
      </c>
      <c r="Z39" s="15">
        <v>24</v>
      </c>
      <c r="AA39" s="10" t="s">
        <v>78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58"/>
      <c r="AM39" s="63"/>
      <c r="AN39" s="10"/>
      <c r="AO39" s="10"/>
      <c r="AP39" s="10"/>
      <c r="AQ39" s="10"/>
      <c r="AR39" s="104" t="s">
        <v>184</v>
      </c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hidden="1">
      <c r="A40" s="10" t="s">
        <v>58</v>
      </c>
      <c r="B40" s="10" t="s">
        <v>59</v>
      </c>
      <c r="C40" s="10" t="s">
        <v>60</v>
      </c>
      <c r="D40" s="11" t="s">
        <v>189</v>
      </c>
      <c r="E40" s="11"/>
      <c r="F40" s="10"/>
      <c r="G40" s="5" t="e">
        <f>VLOOKUP(N40,#REF!,3,FALSE)</f>
        <v>#REF!</v>
      </c>
      <c r="H40" s="10" t="s">
        <v>190</v>
      </c>
      <c r="I40" s="10"/>
      <c r="J40" s="87"/>
      <c r="K40" s="10" t="s">
        <v>64</v>
      </c>
      <c r="L40" s="10" t="s">
        <v>82</v>
      </c>
      <c r="M40" s="10" t="s">
        <v>66</v>
      </c>
      <c r="N40" s="13">
        <v>802978841</v>
      </c>
      <c r="O40" s="18">
        <v>46022</v>
      </c>
      <c r="P40" s="16"/>
      <c r="Q40" s="16"/>
      <c r="R40" s="24"/>
      <c r="S40" s="10"/>
      <c r="T40" s="10"/>
      <c r="U40" s="10"/>
      <c r="V40" s="10"/>
      <c r="W40" s="10"/>
      <c r="X40" s="52"/>
      <c r="Y40" s="49" t="s">
        <v>77</v>
      </c>
      <c r="Z40" s="15">
        <v>21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58"/>
      <c r="AM40" s="63"/>
      <c r="AN40" s="10"/>
      <c r="AO40" s="10"/>
      <c r="AP40" s="10"/>
      <c r="AQ40" s="10"/>
      <c r="AR40" s="10"/>
      <c r="AS40" s="10"/>
      <c r="AT40" s="10"/>
      <c r="AU40" s="10"/>
      <c r="AV40" s="10"/>
      <c r="AW40" s="15"/>
      <c r="AX40" s="10"/>
      <c r="AY40" s="10"/>
      <c r="AZ40" s="10"/>
      <c r="BA40" s="10"/>
    </row>
    <row r="41" spans="1:53" ht="24" hidden="1">
      <c r="A41" s="10" t="s">
        <v>84</v>
      </c>
      <c r="B41" s="10" t="s">
        <v>94</v>
      </c>
      <c r="C41" s="10" t="s">
        <v>60</v>
      </c>
      <c r="D41" s="11" t="s">
        <v>191</v>
      </c>
      <c r="E41" s="11" t="s">
        <v>192</v>
      </c>
      <c r="F41" s="10"/>
      <c r="G41" s="5" t="e">
        <f>VLOOKUP(N41,#REF!,3,FALSE)</f>
        <v>#REF!</v>
      </c>
      <c r="H41" s="10"/>
      <c r="I41" s="10" t="s">
        <v>63</v>
      </c>
      <c r="J41" s="88" t="s">
        <v>193</v>
      </c>
      <c r="K41" s="10" t="s">
        <v>75</v>
      </c>
      <c r="L41" s="10" t="s">
        <v>82</v>
      </c>
      <c r="M41" s="10"/>
      <c r="N41" s="13">
        <v>931250336</v>
      </c>
      <c r="O41" s="18">
        <v>46022</v>
      </c>
      <c r="P41" s="16">
        <v>46070</v>
      </c>
      <c r="Q41" s="16"/>
      <c r="R41" s="18"/>
      <c r="S41" s="10"/>
      <c r="T41" s="10"/>
      <c r="U41" s="10"/>
      <c r="V41" s="10"/>
      <c r="W41" s="10"/>
      <c r="X41" s="52"/>
      <c r="Y41" s="49" t="s">
        <v>77</v>
      </c>
      <c r="Z41" s="15">
        <v>21</v>
      </c>
      <c r="AA41" s="10"/>
      <c r="AB41" s="10"/>
      <c r="AC41" s="15"/>
      <c r="AD41" s="15"/>
      <c r="AE41" s="15"/>
      <c r="AF41" s="15"/>
      <c r="AG41" s="15"/>
      <c r="AH41" s="15"/>
      <c r="AI41" s="15"/>
      <c r="AJ41" s="15"/>
      <c r="AK41" s="15"/>
      <c r="AL41" s="59"/>
      <c r="AM41" s="64"/>
      <c r="AN41" s="10" t="s">
        <v>60</v>
      </c>
      <c r="AO41" s="10"/>
      <c r="AP41" s="10" t="s">
        <v>60</v>
      </c>
      <c r="AQ41" s="10"/>
      <c r="AR41" s="30"/>
      <c r="AS41" s="30"/>
      <c r="AT41" s="30"/>
      <c r="AU41" s="30"/>
      <c r="AV41" s="30"/>
      <c r="AW41" s="30"/>
      <c r="AX41" s="10"/>
      <c r="AY41" s="10"/>
      <c r="AZ41" s="10"/>
      <c r="BA41" s="10"/>
    </row>
    <row r="42" spans="1:53" hidden="1">
      <c r="A42" s="10" t="s">
        <v>58</v>
      </c>
      <c r="B42" s="10" t="s">
        <v>68</v>
      </c>
      <c r="C42" s="10" t="s">
        <v>95</v>
      </c>
      <c r="D42" s="11" t="s">
        <v>194</v>
      </c>
      <c r="E42" s="11"/>
      <c r="F42" s="10" t="s">
        <v>195</v>
      </c>
      <c r="G42" s="101" t="s">
        <v>196</v>
      </c>
      <c r="H42" s="10"/>
      <c r="I42" s="10" t="s">
        <v>74</v>
      </c>
      <c r="J42" s="87" t="s">
        <v>165</v>
      </c>
      <c r="K42" s="10" t="s">
        <v>75</v>
      </c>
      <c r="L42" s="10" t="s">
        <v>82</v>
      </c>
      <c r="M42" s="10" t="s">
        <v>66</v>
      </c>
      <c r="N42" s="13">
        <v>533912846</v>
      </c>
      <c r="O42" s="18">
        <v>46234</v>
      </c>
      <c r="P42" s="16">
        <v>46264</v>
      </c>
      <c r="Q42" s="16"/>
      <c r="R42" s="16"/>
      <c r="S42" s="10"/>
      <c r="T42" s="10"/>
      <c r="U42" s="10"/>
      <c r="V42" s="10"/>
      <c r="W42" s="10"/>
      <c r="X42" s="52"/>
      <c r="Y42" s="49" t="s">
        <v>77</v>
      </c>
      <c r="Z42" s="10">
        <v>21</v>
      </c>
      <c r="AA42" s="10" t="s">
        <v>112</v>
      </c>
      <c r="AB42" s="10"/>
      <c r="AC42" s="10"/>
      <c r="AD42" s="10"/>
      <c r="AE42" s="10"/>
      <c r="AF42" s="10"/>
      <c r="AG42" s="10"/>
      <c r="AH42" s="11"/>
      <c r="AI42" s="10"/>
      <c r="AJ42" s="10"/>
      <c r="AK42" s="10"/>
      <c r="AL42" s="58"/>
      <c r="AM42" s="63"/>
      <c r="AN42" s="10" t="s">
        <v>197</v>
      </c>
      <c r="AO42" s="10"/>
      <c r="AP42" s="10" t="s">
        <v>78</v>
      </c>
      <c r="AQ42" s="10" t="s">
        <v>60</v>
      </c>
      <c r="AR42" s="28"/>
      <c r="AS42" s="28"/>
      <c r="AT42" s="34"/>
      <c r="AU42" s="28"/>
      <c r="AV42" s="28"/>
      <c r="AW42" s="10"/>
      <c r="AX42" s="10" t="s">
        <v>60</v>
      </c>
      <c r="AY42" s="10" t="s">
        <v>60</v>
      </c>
      <c r="AZ42" s="10" t="s">
        <v>60</v>
      </c>
      <c r="BA42" s="10"/>
    </row>
    <row r="43" spans="1:53" hidden="1">
      <c r="A43" s="10" t="s">
        <v>58</v>
      </c>
      <c r="B43" s="10" t="s">
        <v>95</v>
      </c>
      <c r="C43" s="10" t="s">
        <v>95</v>
      </c>
      <c r="D43" s="11" t="s">
        <v>198</v>
      </c>
      <c r="E43" s="11" t="s">
        <v>199</v>
      </c>
      <c r="F43" s="11"/>
      <c r="G43" s="5"/>
      <c r="H43" s="11" t="s">
        <v>200</v>
      </c>
      <c r="I43" s="10" t="s">
        <v>74</v>
      </c>
      <c r="J43" s="87"/>
      <c r="K43" s="10" t="s">
        <v>75</v>
      </c>
      <c r="L43" s="10" t="s">
        <v>187</v>
      </c>
      <c r="M43" s="10" t="s">
        <v>66</v>
      </c>
      <c r="N43" s="13">
        <v>980263438</v>
      </c>
      <c r="O43" s="18">
        <v>46022</v>
      </c>
      <c r="P43" s="16"/>
      <c r="Q43" s="16"/>
      <c r="R43" s="10"/>
      <c r="S43" s="10"/>
      <c r="T43" s="10"/>
      <c r="U43" s="10"/>
      <c r="V43" s="10"/>
      <c r="W43" s="10"/>
      <c r="X43" s="52"/>
      <c r="Y43" s="49" t="s">
        <v>77</v>
      </c>
      <c r="Z43" s="15">
        <v>24</v>
      </c>
      <c r="AA43" s="10"/>
      <c r="AB43" s="15"/>
      <c r="AC43" s="15"/>
      <c r="AD43" s="15"/>
      <c r="AE43" s="15"/>
      <c r="AF43" s="15"/>
      <c r="AG43" s="15"/>
      <c r="AH43" s="15"/>
      <c r="AI43" s="15"/>
      <c r="AJ43" s="10"/>
      <c r="AK43" s="10"/>
      <c r="AL43" s="58"/>
      <c r="AM43" s="64" t="s">
        <v>132</v>
      </c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hidden="1">
      <c r="A44" s="10" t="s">
        <v>58</v>
      </c>
      <c r="B44" s="10" t="s">
        <v>59</v>
      </c>
      <c r="C44" s="10" t="s">
        <v>60</v>
      </c>
      <c r="D44" s="11" t="s">
        <v>201</v>
      </c>
      <c r="E44" s="11"/>
      <c r="F44" s="11"/>
      <c r="G44" s="5"/>
      <c r="H44" s="11"/>
      <c r="I44" s="10"/>
      <c r="J44" s="87"/>
      <c r="K44" s="10" t="s">
        <v>64</v>
      </c>
      <c r="L44" s="10" t="s">
        <v>65</v>
      </c>
      <c r="M44" s="10" t="s">
        <v>66</v>
      </c>
      <c r="N44" s="13">
        <v>918293879</v>
      </c>
      <c r="O44" s="18">
        <v>46022</v>
      </c>
      <c r="P44" s="16">
        <v>46142</v>
      </c>
      <c r="Q44" s="16"/>
      <c r="R44" s="21"/>
      <c r="S44" s="10"/>
      <c r="T44" s="10"/>
      <c r="U44" s="10"/>
      <c r="V44" s="10"/>
      <c r="W44" s="10"/>
      <c r="X44" s="52"/>
      <c r="Y44" s="49" t="s">
        <v>77</v>
      </c>
      <c r="Z44" s="15">
        <v>24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58"/>
      <c r="AM44" s="63"/>
      <c r="AN44" s="18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hidden="1">
      <c r="A45" s="10" t="s">
        <v>58</v>
      </c>
      <c r="B45" s="10" t="s">
        <v>68</v>
      </c>
      <c r="C45" s="10" t="s">
        <v>59</v>
      </c>
      <c r="D45" s="11" t="s">
        <v>202</v>
      </c>
      <c r="E45" s="11"/>
      <c r="F45" s="11"/>
      <c r="G45" s="5"/>
      <c r="H45" s="11"/>
      <c r="I45" s="10" t="s">
        <v>74</v>
      </c>
      <c r="J45" s="87"/>
      <c r="K45" s="10" t="s">
        <v>75</v>
      </c>
      <c r="L45" s="10" t="s">
        <v>65</v>
      </c>
      <c r="M45" s="10" t="s">
        <v>66</v>
      </c>
      <c r="N45" s="13">
        <v>895188118</v>
      </c>
      <c r="O45" s="18">
        <v>46022</v>
      </c>
      <c r="P45" s="16">
        <v>46108</v>
      </c>
      <c r="Q45" s="16"/>
      <c r="R45" s="16"/>
      <c r="S45" s="10"/>
      <c r="T45" s="10"/>
      <c r="U45" s="10"/>
      <c r="V45" s="10"/>
      <c r="W45" s="10"/>
      <c r="X45" s="52"/>
      <c r="Y45" s="49" t="s">
        <v>77</v>
      </c>
      <c r="Z45" s="10">
        <v>24</v>
      </c>
      <c r="AA45" s="10" t="s">
        <v>78</v>
      </c>
      <c r="AB45" s="10"/>
      <c r="AC45" s="10"/>
      <c r="AD45" s="10"/>
      <c r="AE45" s="10"/>
      <c r="AF45" s="10"/>
      <c r="AG45" s="10"/>
      <c r="AH45" s="10"/>
      <c r="AI45" s="10"/>
      <c r="AJ45" s="15"/>
      <c r="AK45" s="10"/>
      <c r="AL45" s="58"/>
      <c r="AM45" s="63" t="s">
        <v>108</v>
      </c>
      <c r="AN45" s="10" t="s">
        <v>108</v>
      </c>
      <c r="AO45" s="10"/>
      <c r="AP45" s="10"/>
      <c r="AQ45" s="10" t="s">
        <v>60</v>
      </c>
      <c r="AR45" s="10"/>
      <c r="AS45" s="10"/>
      <c r="AT45" s="11"/>
      <c r="AU45" s="11"/>
      <c r="AV45" s="11"/>
      <c r="AW45" s="10"/>
      <c r="AX45" s="10" t="s">
        <v>60</v>
      </c>
      <c r="AY45" s="10" t="s">
        <v>60</v>
      </c>
      <c r="AZ45" s="10" t="s">
        <v>60</v>
      </c>
      <c r="BA45" s="10"/>
    </row>
    <row r="46" spans="1:53" ht="22.5" hidden="1">
      <c r="A46" s="10" t="s">
        <v>58</v>
      </c>
      <c r="B46" s="10" t="s">
        <v>95</v>
      </c>
      <c r="C46" s="10" t="s">
        <v>95</v>
      </c>
      <c r="D46" s="11" t="s">
        <v>203</v>
      </c>
      <c r="E46" s="11"/>
      <c r="F46" s="11" t="s">
        <v>204</v>
      </c>
      <c r="G46" s="101" t="s">
        <v>205</v>
      </c>
      <c r="H46" s="11"/>
      <c r="I46" s="10" t="s">
        <v>63</v>
      </c>
      <c r="J46" s="70" t="s">
        <v>206</v>
      </c>
      <c r="K46" s="10" t="s">
        <v>75</v>
      </c>
      <c r="L46" s="10" t="s">
        <v>65</v>
      </c>
      <c r="M46" s="10" t="s">
        <v>66</v>
      </c>
      <c r="N46" s="13">
        <v>838651438</v>
      </c>
      <c r="O46" s="18">
        <v>46022</v>
      </c>
      <c r="P46" s="16">
        <v>46060</v>
      </c>
      <c r="Q46" s="16"/>
      <c r="R46" s="18"/>
      <c r="S46" s="10"/>
      <c r="T46" s="10"/>
      <c r="U46" s="10"/>
      <c r="V46" s="10"/>
      <c r="W46" s="10"/>
      <c r="X46" s="52"/>
      <c r="Y46" s="49" t="s">
        <v>77</v>
      </c>
      <c r="Z46" s="15">
        <v>24</v>
      </c>
      <c r="AA46" s="10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59"/>
      <c r="AM46" s="64" t="s">
        <v>132</v>
      </c>
      <c r="AN46" s="10" t="s">
        <v>60</v>
      </c>
      <c r="AO46" s="10" t="s">
        <v>60</v>
      </c>
      <c r="AP46" s="10" t="s">
        <v>60</v>
      </c>
      <c r="AQ46" s="10" t="s">
        <v>60</v>
      </c>
      <c r="AR46" s="10"/>
      <c r="AS46" s="10"/>
      <c r="AT46" s="10"/>
      <c r="AU46" s="10"/>
      <c r="AV46" s="10"/>
      <c r="AW46" s="10"/>
      <c r="AX46" s="10" t="s">
        <v>60</v>
      </c>
      <c r="AY46" s="10" t="s">
        <v>60</v>
      </c>
      <c r="AZ46" s="10"/>
      <c r="BA46" s="10"/>
    </row>
    <row r="47" spans="1:53" ht="22.5" hidden="1">
      <c r="A47" s="10" t="s">
        <v>58</v>
      </c>
      <c r="B47" s="10" t="s">
        <v>59</v>
      </c>
      <c r="C47" s="10" t="s">
        <v>60</v>
      </c>
      <c r="D47" s="11" t="s">
        <v>207</v>
      </c>
      <c r="E47" s="11"/>
      <c r="F47" s="10"/>
      <c r="G47" s="5" t="e">
        <f>VLOOKUP(N47,#REF!,3,FALSE)</f>
        <v>#REF!</v>
      </c>
      <c r="H47" s="10"/>
      <c r="I47" s="10"/>
      <c r="J47" s="70" t="s">
        <v>208</v>
      </c>
      <c r="K47" s="10" t="s">
        <v>64</v>
      </c>
      <c r="L47" s="10" t="s">
        <v>102</v>
      </c>
      <c r="M47" s="10" t="s">
        <v>66</v>
      </c>
      <c r="N47" s="13">
        <v>948324900</v>
      </c>
      <c r="O47" s="18">
        <v>46022</v>
      </c>
      <c r="P47" s="16">
        <v>46112</v>
      </c>
      <c r="Q47" s="16"/>
      <c r="R47" s="21"/>
      <c r="S47" s="10"/>
      <c r="T47" s="10"/>
      <c r="U47" s="10"/>
      <c r="V47" s="10"/>
      <c r="W47" s="10"/>
      <c r="X47" s="52"/>
      <c r="Y47" s="49" t="s">
        <v>71</v>
      </c>
      <c r="Z47" s="15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58"/>
      <c r="AM47" s="63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hidden="1">
      <c r="A48" s="10" t="s">
        <v>58</v>
      </c>
      <c r="B48" s="10" t="s">
        <v>68</v>
      </c>
      <c r="C48" s="10" t="s">
        <v>59</v>
      </c>
      <c r="D48" s="11" t="s">
        <v>209</v>
      </c>
      <c r="E48" s="11"/>
      <c r="F48" s="10"/>
      <c r="G48" s="5" t="e">
        <f>VLOOKUP(N48,#REF!,3,FALSE)</f>
        <v>#REF!</v>
      </c>
      <c r="H48" s="10"/>
      <c r="I48" s="10" t="s">
        <v>74</v>
      </c>
      <c r="J48" s="87"/>
      <c r="K48" s="10" t="s">
        <v>75</v>
      </c>
      <c r="L48" s="10"/>
      <c r="M48" s="10"/>
      <c r="N48" s="13"/>
      <c r="O48" s="18">
        <v>46022</v>
      </c>
      <c r="P48" s="16">
        <v>46129</v>
      </c>
      <c r="Q48" s="16"/>
      <c r="R48" s="16"/>
      <c r="S48" s="10"/>
      <c r="T48" s="10"/>
      <c r="U48" s="10"/>
      <c r="V48" s="10"/>
      <c r="W48" s="10"/>
      <c r="X48" s="52"/>
      <c r="Y48" s="49" t="s">
        <v>77</v>
      </c>
      <c r="Z48" s="10">
        <v>21</v>
      </c>
      <c r="AA48" s="10" t="s">
        <v>112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60"/>
      <c r="AM48" s="63"/>
      <c r="AN48" s="10" t="s">
        <v>79</v>
      </c>
      <c r="AO48" s="10"/>
      <c r="AP48" s="10" t="s">
        <v>60</v>
      </c>
      <c r="AQ48" s="10" t="s">
        <v>78</v>
      </c>
      <c r="AR48" s="10"/>
      <c r="AS48" s="10"/>
      <c r="AT48" s="11"/>
      <c r="AU48" s="11"/>
      <c r="AV48" s="11"/>
      <c r="AW48" s="10"/>
      <c r="AX48" s="10"/>
      <c r="AY48" s="10"/>
      <c r="AZ48" s="10" t="s">
        <v>60</v>
      </c>
      <c r="BA48" s="10"/>
    </row>
    <row r="49" spans="1:53" hidden="1">
      <c r="A49" s="10" t="s">
        <v>84</v>
      </c>
      <c r="B49" s="10" t="s">
        <v>94</v>
      </c>
      <c r="C49" s="10" t="s">
        <v>60</v>
      </c>
      <c r="D49" s="11" t="s">
        <v>210</v>
      </c>
      <c r="E49" s="11"/>
      <c r="F49" s="11"/>
      <c r="G49" s="5"/>
      <c r="H49" s="11"/>
      <c r="I49" s="10" t="s">
        <v>63</v>
      </c>
      <c r="J49" s="87"/>
      <c r="K49" s="10" t="s">
        <v>75</v>
      </c>
      <c r="L49" s="10" t="s">
        <v>65</v>
      </c>
      <c r="M49" s="10" t="s">
        <v>66</v>
      </c>
      <c r="N49" s="13">
        <v>349321380</v>
      </c>
      <c r="O49" s="18">
        <v>46022</v>
      </c>
      <c r="P49" s="16"/>
      <c r="Q49" s="16"/>
      <c r="R49" s="10"/>
      <c r="S49" s="10"/>
      <c r="T49" s="10"/>
      <c r="U49" s="10"/>
      <c r="V49" s="10"/>
      <c r="W49" s="10"/>
      <c r="X49" s="52"/>
      <c r="Y49" s="49" t="s">
        <v>77</v>
      </c>
      <c r="Z49" s="15">
        <v>24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58"/>
      <c r="AM49" s="63"/>
      <c r="AN49" s="10"/>
      <c r="AO49" s="10"/>
      <c r="AP49" s="10"/>
      <c r="AQ49" s="10"/>
      <c r="AR49" s="30"/>
      <c r="AS49" s="30"/>
      <c r="AT49" s="10"/>
      <c r="AU49" s="10"/>
      <c r="AV49" s="10"/>
      <c r="AW49" s="10"/>
      <c r="AX49" s="10"/>
      <c r="AY49" s="10"/>
      <c r="AZ49" s="15" t="s">
        <v>135</v>
      </c>
      <c r="BA49" s="10"/>
    </row>
    <row r="50" spans="1:53" hidden="1">
      <c r="A50" s="10" t="s">
        <v>58</v>
      </c>
      <c r="B50" s="10" t="s">
        <v>68</v>
      </c>
      <c r="C50" s="10" t="s">
        <v>59</v>
      </c>
      <c r="D50" s="11" t="s">
        <v>211</v>
      </c>
      <c r="E50" s="11"/>
      <c r="F50" s="10"/>
      <c r="G50" s="5" t="e">
        <f>VLOOKUP(N50,#REF!,3,FALSE)</f>
        <v>#REF!</v>
      </c>
      <c r="H50" s="10"/>
      <c r="I50" s="10" t="s">
        <v>63</v>
      </c>
      <c r="J50" s="87"/>
      <c r="K50" s="10" t="s">
        <v>212</v>
      </c>
      <c r="L50" s="10" t="s">
        <v>213</v>
      </c>
      <c r="M50" s="10" t="s">
        <v>76</v>
      </c>
      <c r="N50" s="13">
        <v>749856050</v>
      </c>
      <c r="O50" s="18">
        <v>46022</v>
      </c>
      <c r="P50" s="16">
        <v>46115</v>
      </c>
      <c r="Q50" s="16"/>
      <c r="R50" s="16"/>
      <c r="S50" s="10"/>
      <c r="T50" s="10"/>
      <c r="U50" s="10"/>
      <c r="V50" s="10"/>
      <c r="W50" s="10"/>
      <c r="X50" s="52"/>
      <c r="Y50" s="49" t="s">
        <v>146</v>
      </c>
      <c r="Z50" s="10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3"/>
      <c r="AM50" s="63"/>
      <c r="AN50" s="10" t="s">
        <v>79</v>
      </c>
      <c r="AO50" s="10"/>
      <c r="AP50" s="10"/>
      <c r="AQ50" s="10" t="s">
        <v>60</v>
      </c>
      <c r="AR50" s="10"/>
      <c r="AS50" s="10"/>
      <c r="AT50" s="10"/>
      <c r="AU50" s="10"/>
      <c r="AV50" s="10"/>
      <c r="AW50" s="10"/>
      <c r="AX50" s="10" t="s">
        <v>60</v>
      </c>
      <c r="AY50" s="10" t="s">
        <v>60</v>
      </c>
      <c r="AZ50" s="10" t="s">
        <v>60</v>
      </c>
      <c r="BA50" s="10"/>
    </row>
    <row r="51" spans="1:53" ht="22.5" hidden="1">
      <c r="A51" s="10" t="s">
        <v>58</v>
      </c>
      <c r="B51" s="10" t="s">
        <v>59</v>
      </c>
      <c r="C51" s="10" t="s">
        <v>60</v>
      </c>
      <c r="D51" s="11" t="s">
        <v>214</v>
      </c>
      <c r="E51" s="11"/>
      <c r="F51" s="11"/>
      <c r="G51" s="5"/>
      <c r="H51" s="11"/>
      <c r="I51" s="10"/>
      <c r="J51" s="70" t="s">
        <v>215</v>
      </c>
      <c r="K51" s="10" t="s">
        <v>64</v>
      </c>
      <c r="L51" s="10" t="s">
        <v>65</v>
      </c>
      <c r="M51" s="10" t="s">
        <v>66</v>
      </c>
      <c r="N51" s="13">
        <v>834306995</v>
      </c>
      <c r="O51" s="18">
        <v>46022</v>
      </c>
      <c r="P51" s="16"/>
      <c r="Q51" s="16"/>
      <c r="R51" s="24"/>
      <c r="S51" s="10"/>
      <c r="T51" s="10"/>
      <c r="U51" s="10"/>
      <c r="V51" s="10"/>
      <c r="W51" s="10"/>
      <c r="X51" s="52"/>
      <c r="Y51" s="49" t="s">
        <v>77</v>
      </c>
      <c r="Z51" s="15">
        <v>24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58"/>
      <c r="AM51" s="63"/>
      <c r="AN51" s="10"/>
      <c r="AO51" s="10"/>
      <c r="AP51" s="10"/>
      <c r="AQ51" s="10"/>
      <c r="AR51" s="10"/>
      <c r="AS51" s="10"/>
      <c r="AT51" s="10"/>
      <c r="AU51" s="26"/>
      <c r="AV51" s="10"/>
      <c r="AW51" s="10"/>
      <c r="AX51" s="10"/>
      <c r="AY51" s="10"/>
      <c r="AZ51" s="10"/>
      <c r="BA51" s="10"/>
    </row>
    <row r="52" spans="1:53" s="7" customFormat="1" ht="45">
      <c r="A52" s="10" t="s">
        <v>84</v>
      </c>
      <c r="B52" s="10" t="s">
        <v>94</v>
      </c>
      <c r="C52" s="10" t="s">
        <v>85</v>
      </c>
      <c r="D52" s="11" t="s">
        <v>216</v>
      </c>
      <c r="E52" s="11" t="s">
        <v>217</v>
      </c>
      <c r="F52" s="10"/>
      <c r="G52" s="5" t="e">
        <f>VLOOKUP(N52,#REF!,3,FALSE)</f>
        <v>#REF!</v>
      </c>
      <c r="H52" s="10"/>
      <c r="I52" s="10" t="s">
        <v>74</v>
      </c>
      <c r="J52" s="70" t="s">
        <v>218</v>
      </c>
      <c r="K52" s="10" t="s">
        <v>101</v>
      </c>
      <c r="L52" s="10" t="s">
        <v>82</v>
      </c>
      <c r="M52" s="10" t="s">
        <v>76</v>
      </c>
      <c r="N52" s="13"/>
      <c r="O52" s="18">
        <v>46022</v>
      </c>
      <c r="P52" s="16">
        <v>46083</v>
      </c>
      <c r="Q52" s="16"/>
      <c r="R52" s="18"/>
      <c r="S52" s="10"/>
      <c r="T52" s="10"/>
      <c r="U52" s="10"/>
      <c r="V52" s="10"/>
      <c r="W52" s="10"/>
      <c r="X52" s="52"/>
      <c r="Y52" s="49" t="s">
        <v>146</v>
      </c>
      <c r="Z52" s="15"/>
      <c r="AA52" s="95" t="s">
        <v>175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58"/>
      <c r="AM52" s="63"/>
      <c r="AN52" s="10"/>
      <c r="AO52" s="10"/>
      <c r="AP52" s="10"/>
      <c r="AQ52" s="10"/>
      <c r="AR52" s="95" t="s">
        <v>175</v>
      </c>
      <c r="AS52" s="30"/>
      <c r="AT52" s="30"/>
      <c r="AU52" s="30"/>
      <c r="AV52" s="10"/>
      <c r="AW52" s="10"/>
      <c r="AX52" s="10"/>
      <c r="AY52" s="10"/>
      <c r="AZ52" s="10"/>
      <c r="BA52" s="10"/>
    </row>
    <row r="53" spans="1:53" hidden="1">
      <c r="A53" s="10" t="s">
        <v>58</v>
      </c>
      <c r="B53" s="10" t="s">
        <v>59</v>
      </c>
      <c r="C53" s="10" t="s">
        <v>60</v>
      </c>
      <c r="D53" s="11" t="s">
        <v>219</v>
      </c>
      <c r="E53" s="11"/>
      <c r="F53" s="10"/>
      <c r="G53" s="5" t="e">
        <f>VLOOKUP(N53,#REF!,3,FALSE)</f>
        <v>#REF!</v>
      </c>
      <c r="H53" s="10"/>
      <c r="I53" s="10"/>
      <c r="J53" s="87"/>
      <c r="K53" s="10" t="s">
        <v>64</v>
      </c>
      <c r="L53" s="10" t="s">
        <v>102</v>
      </c>
      <c r="M53" s="10" t="s">
        <v>76</v>
      </c>
      <c r="N53" s="13">
        <v>417682051</v>
      </c>
      <c r="O53" s="18">
        <v>46022</v>
      </c>
      <c r="P53" s="16"/>
      <c r="Q53" s="16"/>
      <c r="R53" s="24"/>
      <c r="S53" s="10"/>
      <c r="T53" s="10"/>
      <c r="U53" s="10"/>
      <c r="V53" s="10"/>
      <c r="W53" s="10"/>
      <c r="X53" s="52"/>
      <c r="Y53" s="49" t="s">
        <v>146</v>
      </c>
      <c r="Z53" s="15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58"/>
      <c r="AM53" s="63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hidden="1">
      <c r="A54" s="10" t="s">
        <v>58</v>
      </c>
      <c r="B54" s="10" t="s">
        <v>59</v>
      </c>
      <c r="C54" s="10" t="s">
        <v>60</v>
      </c>
      <c r="D54" s="11" t="s">
        <v>220</v>
      </c>
      <c r="E54" s="11"/>
      <c r="F54" s="11"/>
      <c r="G54" s="5"/>
      <c r="H54" s="11"/>
      <c r="I54" s="10"/>
      <c r="J54" s="87"/>
      <c r="K54" s="10" t="s">
        <v>64</v>
      </c>
      <c r="L54" s="10" t="s">
        <v>65</v>
      </c>
      <c r="M54" s="10" t="s">
        <v>66</v>
      </c>
      <c r="N54" s="13">
        <v>823781307</v>
      </c>
      <c r="O54" s="18">
        <v>46022</v>
      </c>
      <c r="P54" s="16">
        <v>46112</v>
      </c>
      <c r="Q54" s="16"/>
      <c r="R54" s="21"/>
      <c r="S54" s="10"/>
      <c r="T54" s="10"/>
      <c r="U54" s="10"/>
      <c r="V54" s="10"/>
      <c r="W54" s="10"/>
      <c r="X54" s="52"/>
      <c r="Y54" s="49" t="s">
        <v>77</v>
      </c>
      <c r="Z54" s="15">
        <v>24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58"/>
      <c r="AM54" s="63"/>
      <c r="AN54" s="10"/>
      <c r="AO54" s="10"/>
      <c r="AP54" s="10"/>
      <c r="AQ54" s="10"/>
      <c r="AR54" s="10"/>
      <c r="AS54" s="10"/>
      <c r="AT54" s="10"/>
      <c r="AU54" s="10"/>
      <c r="AV54" s="10"/>
      <c r="AW54" s="15"/>
      <c r="AX54" s="10"/>
      <c r="AY54" s="10"/>
      <c r="AZ54" s="10"/>
      <c r="BA54" s="10"/>
    </row>
    <row r="55" spans="1:53">
      <c r="A55" s="13" t="s">
        <v>84</v>
      </c>
      <c r="B55" s="13" t="s">
        <v>94</v>
      </c>
      <c r="C55" s="13" t="s">
        <v>85</v>
      </c>
      <c r="D55" s="36" t="s">
        <v>221</v>
      </c>
      <c r="E55" s="36" t="s">
        <v>222</v>
      </c>
      <c r="F55" s="13"/>
      <c r="G55" s="5" t="e">
        <f>VLOOKUP(N55,#REF!,3,FALSE)</f>
        <v>#REF!</v>
      </c>
      <c r="H55" s="10"/>
      <c r="I55" s="13" t="s">
        <v>74</v>
      </c>
      <c r="J55" s="69"/>
      <c r="K55" s="13" t="s">
        <v>64</v>
      </c>
      <c r="L55" s="13" t="s">
        <v>82</v>
      </c>
      <c r="M55" s="13" t="s">
        <v>66</v>
      </c>
      <c r="N55" s="13">
        <v>905139432</v>
      </c>
      <c r="O55" s="18">
        <v>46022</v>
      </c>
      <c r="P55" s="16">
        <v>46072</v>
      </c>
      <c r="Q55" s="16"/>
      <c r="R55" s="37"/>
      <c r="S55" s="10"/>
      <c r="T55" s="10"/>
      <c r="U55" s="10"/>
      <c r="V55" s="10"/>
      <c r="W55" s="10"/>
      <c r="X55" s="52"/>
      <c r="Y55" s="50" t="s">
        <v>77</v>
      </c>
      <c r="Z55" s="27">
        <v>21</v>
      </c>
      <c r="AA55" s="10" t="s">
        <v>78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61"/>
      <c r="AM55" s="65"/>
      <c r="AN55" s="13"/>
      <c r="AO55" s="13"/>
      <c r="AP55" s="13"/>
      <c r="AQ55" s="13"/>
      <c r="AR55" s="106" t="s">
        <v>90</v>
      </c>
      <c r="AS55" s="38"/>
      <c r="AT55" s="38"/>
      <c r="AU55" s="10"/>
      <c r="AV55" s="13"/>
      <c r="AW55" s="13"/>
      <c r="AX55" s="13"/>
      <c r="AY55" s="13"/>
      <c r="AZ55" s="13"/>
      <c r="BA55" s="13"/>
    </row>
    <row r="56" spans="1:53" hidden="1">
      <c r="A56" s="10" t="s">
        <v>58</v>
      </c>
      <c r="B56" s="10" t="s">
        <v>59</v>
      </c>
      <c r="C56" s="10" t="s">
        <v>60</v>
      </c>
      <c r="D56" s="11" t="s">
        <v>223</v>
      </c>
      <c r="E56" s="11"/>
      <c r="F56" s="11"/>
      <c r="G56" s="5"/>
      <c r="H56" s="11"/>
      <c r="I56" s="10"/>
      <c r="J56" s="87"/>
      <c r="K56" s="10" t="s">
        <v>64</v>
      </c>
      <c r="L56" s="10" t="s">
        <v>65</v>
      </c>
      <c r="M56" s="10" t="s">
        <v>66</v>
      </c>
      <c r="N56" s="13">
        <v>834226326</v>
      </c>
      <c r="O56" s="18">
        <v>46022</v>
      </c>
      <c r="P56" s="16"/>
      <c r="Q56" s="16"/>
      <c r="R56" s="24"/>
      <c r="S56" s="10"/>
      <c r="T56" s="10"/>
      <c r="U56" s="10"/>
      <c r="V56" s="10"/>
      <c r="W56" s="10"/>
      <c r="X56" s="52"/>
      <c r="Y56" s="49" t="s">
        <v>77</v>
      </c>
      <c r="Z56" s="15">
        <v>24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58"/>
      <c r="AM56" s="63"/>
      <c r="AN56" s="10"/>
      <c r="AO56" s="10"/>
      <c r="AP56" s="10"/>
      <c r="AQ56" s="10"/>
      <c r="AR56" s="26"/>
      <c r="AS56" s="26"/>
      <c r="AT56" s="26"/>
      <c r="AU56" s="26"/>
      <c r="AV56" s="10"/>
      <c r="AW56" s="10"/>
      <c r="AX56" s="10"/>
      <c r="AY56" s="10"/>
      <c r="AZ56" s="10"/>
      <c r="BA56" s="10"/>
    </row>
    <row r="57" spans="1:53" hidden="1">
      <c r="A57" s="10" t="s">
        <v>58</v>
      </c>
      <c r="B57" s="10" t="s">
        <v>59</v>
      </c>
      <c r="C57" s="10" t="s">
        <v>60</v>
      </c>
      <c r="D57" s="11" t="s">
        <v>224</v>
      </c>
      <c r="E57" s="11"/>
      <c r="F57" s="10"/>
      <c r="G57" s="5" t="e">
        <f>VLOOKUP(N57,#REF!,3,FALSE)</f>
        <v>#REF!</v>
      </c>
      <c r="H57" s="10"/>
      <c r="I57" s="10"/>
      <c r="J57" s="87"/>
      <c r="K57" s="10" t="s">
        <v>64</v>
      </c>
      <c r="L57" s="10" t="s">
        <v>120</v>
      </c>
      <c r="M57" s="10" t="s">
        <v>66</v>
      </c>
      <c r="N57" s="13">
        <v>881472047</v>
      </c>
      <c r="O57" s="18">
        <v>46022</v>
      </c>
      <c r="P57" s="16">
        <v>46081</v>
      </c>
      <c r="Q57" s="16"/>
      <c r="R57" s="21"/>
      <c r="S57" s="10"/>
      <c r="T57" s="10"/>
      <c r="U57" s="10"/>
      <c r="V57" s="10"/>
      <c r="W57" s="10"/>
      <c r="X57" s="52"/>
      <c r="Y57" s="49" t="s">
        <v>77</v>
      </c>
      <c r="Z57" s="15">
        <v>21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58"/>
      <c r="AM57" s="63"/>
      <c r="AN57" s="10"/>
      <c r="AO57" s="10"/>
      <c r="AP57" s="10"/>
      <c r="AQ57" s="10"/>
      <c r="AR57" s="26"/>
      <c r="AS57" s="26"/>
      <c r="AT57" s="26"/>
      <c r="AU57" s="26"/>
      <c r="AV57" s="26"/>
      <c r="AW57" s="39"/>
      <c r="AX57" s="10"/>
      <c r="AY57" s="10"/>
      <c r="AZ57" s="10"/>
      <c r="BA57" s="10"/>
    </row>
    <row r="58" spans="1:53">
      <c r="A58" s="10" t="s">
        <v>84</v>
      </c>
      <c r="B58" s="10" t="s">
        <v>68</v>
      </c>
      <c r="C58" s="10" t="s">
        <v>85</v>
      </c>
      <c r="D58" s="11" t="s">
        <v>225</v>
      </c>
      <c r="E58" s="11"/>
      <c r="F58" s="11"/>
      <c r="G58" s="5"/>
      <c r="H58" s="11"/>
      <c r="I58" s="10" t="s">
        <v>63</v>
      </c>
      <c r="J58" s="89"/>
      <c r="K58" s="10" t="s">
        <v>101</v>
      </c>
      <c r="L58" s="10" t="s">
        <v>65</v>
      </c>
      <c r="M58" s="10" t="s">
        <v>66</v>
      </c>
      <c r="N58" s="19">
        <v>445150873</v>
      </c>
      <c r="O58" s="18">
        <v>46053</v>
      </c>
      <c r="P58" s="16">
        <v>46108</v>
      </c>
      <c r="Q58" s="16"/>
      <c r="R58" s="16"/>
      <c r="S58" s="10"/>
      <c r="T58" s="10"/>
      <c r="U58" s="10"/>
      <c r="V58" s="10"/>
      <c r="W58" s="10"/>
      <c r="X58" s="52"/>
      <c r="Y58" s="49" t="s">
        <v>77</v>
      </c>
      <c r="Z58" s="10">
        <v>24</v>
      </c>
      <c r="AA58" s="91" t="s">
        <v>226</v>
      </c>
      <c r="AB58" s="91" t="s">
        <v>226</v>
      </c>
      <c r="AC58" s="91" t="s">
        <v>226</v>
      </c>
      <c r="AD58" s="91" t="s">
        <v>226</v>
      </c>
      <c r="AE58" s="91" t="s">
        <v>226</v>
      </c>
      <c r="AF58" s="91" t="s">
        <v>226</v>
      </c>
      <c r="AG58" s="91" t="s">
        <v>226</v>
      </c>
      <c r="AH58" s="91" t="s">
        <v>226</v>
      </c>
      <c r="AI58" s="91" t="s">
        <v>226</v>
      </c>
      <c r="AJ58" s="91" t="s">
        <v>226</v>
      </c>
      <c r="AK58" s="91" t="s">
        <v>226</v>
      </c>
      <c r="AL58" s="91" t="s">
        <v>226</v>
      </c>
      <c r="AM58" s="63"/>
      <c r="AN58" s="10"/>
      <c r="AO58" s="10"/>
      <c r="AP58" s="10" t="s">
        <v>227</v>
      </c>
      <c r="AQ58" s="10" t="s">
        <v>60</v>
      </c>
      <c r="AR58" s="91" t="s">
        <v>226</v>
      </c>
      <c r="AS58" s="10"/>
      <c r="AT58" s="11"/>
      <c r="AU58" s="11"/>
      <c r="AV58" s="11"/>
      <c r="AW58" s="10"/>
      <c r="AX58" s="10" t="s">
        <v>78</v>
      </c>
      <c r="AY58" s="10" t="s">
        <v>78</v>
      </c>
      <c r="AZ58" s="10" t="s">
        <v>78</v>
      </c>
      <c r="BA58" s="10"/>
    </row>
    <row r="59" spans="1:53" hidden="1">
      <c r="A59" s="10" t="s">
        <v>58</v>
      </c>
      <c r="B59" s="10" t="s">
        <v>94</v>
      </c>
      <c r="C59" s="10" t="s">
        <v>59</v>
      </c>
      <c r="D59" s="17" t="s">
        <v>228</v>
      </c>
      <c r="E59" s="11"/>
      <c r="F59" s="10"/>
      <c r="G59" s="5" t="e">
        <f>VLOOKUP(N59,#REF!,3,FALSE)</f>
        <v>#REF!</v>
      </c>
      <c r="H59" s="10"/>
      <c r="I59" s="10"/>
      <c r="J59" s="87"/>
      <c r="K59" s="10" t="s">
        <v>64</v>
      </c>
      <c r="L59" s="10" t="s">
        <v>82</v>
      </c>
      <c r="M59" s="10" t="s">
        <v>66</v>
      </c>
      <c r="N59" s="13">
        <v>500606165</v>
      </c>
      <c r="O59" s="18">
        <v>46203</v>
      </c>
      <c r="P59" s="16">
        <v>46233</v>
      </c>
      <c r="Q59" s="16"/>
      <c r="R59" s="17"/>
      <c r="S59" s="10"/>
      <c r="T59" s="10"/>
      <c r="U59" s="10"/>
      <c r="V59" s="10"/>
      <c r="W59" s="10"/>
      <c r="X59" s="52"/>
      <c r="Y59" s="49" t="s">
        <v>77</v>
      </c>
      <c r="Z59" s="15">
        <v>21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58"/>
      <c r="AM59" s="63"/>
      <c r="AN59" s="10" t="s">
        <v>79</v>
      </c>
      <c r="AO59" s="10"/>
      <c r="AP59" s="10"/>
      <c r="AQ59" s="10"/>
      <c r="AR59" s="10"/>
      <c r="AS59" s="10"/>
      <c r="AT59" s="10"/>
      <c r="AU59" s="10"/>
      <c r="AV59" s="10"/>
      <c r="AW59" s="15"/>
      <c r="AX59" s="10"/>
      <c r="AY59" s="10"/>
      <c r="AZ59" s="10"/>
      <c r="BA59" s="10"/>
    </row>
    <row r="60" spans="1:53">
      <c r="A60" s="10" t="s">
        <v>84</v>
      </c>
      <c r="B60" s="10" t="s">
        <v>68</v>
      </c>
      <c r="C60" s="10" t="s">
        <v>85</v>
      </c>
      <c r="D60" s="11" t="s">
        <v>229</v>
      </c>
      <c r="E60" s="11" t="s">
        <v>230</v>
      </c>
      <c r="F60" s="11"/>
      <c r="G60" s="5"/>
      <c r="H60" s="11"/>
      <c r="I60" s="10" t="s">
        <v>63</v>
      </c>
      <c r="J60" s="89"/>
      <c r="K60" s="10" t="s">
        <v>101</v>
      </c>
      <c r="L60" s="10" t="s">
        <v>65</v>
      </c>
      <c r="M60" s="10" t="s">
        <v>66</v>
      </c>
      <c r="N60" s="13">
        <v>442004610</v>
      </c>
      <c r="O60" s="18">
        <v>46053</v>
      </c>
      <c r="P60" s="16">
        <v>46108</v>
      </c>
      <c r="Q60" s="16"/>
      <c r="R60" s="16"/>
      <c r="S60" s="10"/>
      <c r="T60" s="10"/>
      <c r="U60" s="10"/>
      <c r="V60" s="10"/>
      <c r="W60" s="10"/>
      <c r="X60" s="52"/>
      <c r="Y60" s="49" t="s">
        <v>77</v>
      </c>
      <c r="Z60" s="10">
        <v>24</v>
      </c>
      <c r="AA60" s="91" t="s">
        <v>226</v>
      </c>
      <c r="AB60" s="91" t="s">
        <v>226</v>
      </c>
      <c r="AC60" s="91" t="s">
        <v>226</v>
      </c>
      <c r="AD60" s="91" t="s">
        <v>226</v>
      </c>
      <c r="AE60" s="91" t="s">
        <v>226</v>
      </c>
      <c r="AF60" s="91" t="s">
        <v>226</v>
      </c>
      <c r="AG60" s="91" t="s">
        <v>226</v>
      </c>
      <c r="AH60" s="91" t="s">
        <v>226</v>
      </c>
      <c r="AI60" s="91" t="s">
        <v>226</v>
      </c>
      <c r="AJ60" s="91" t="s">
        <v>226</v>
      </c>
      <c r="AK60" s="91" t="s">
        <v>226</v>
      </c>
      <c r="AL60" s="91" t="s">
        <v>226</v>
      </c>
      <c r="AM60" s="63"/>
      <c r="AN60" s="10"/>
      <c r="AO60" s="10"/>
      <c r="AP60" s="10" t="s">
        <v>227</v>
      </c>
      <c r="AQ60" s="10" t="s">
        <v>60</v>
      </c>
      <c r="AR60" s="91" t="s">
        <v>226</v>
      </c>
      <c r="AS60" s="10"/>
      <c r="AT60" s="11"/>
      <c r="AU60" s="11"/>
      <c r="AV60" s="11"/>
      <c r="AW60" s="10"/>
      <c r="AX60" s="10" t="s">
        <v>78</v>
      </c>
      <c r="AY60" s="10" t="s">
        <v>78</v>
      </c>
      <c r="AZ60" s="10" t="s">
        <v>78</v>
      </c>
      <c r="BA60" s="10"/>
    </row>
    <row r="61" spans="1:53" hidden="1">
      <c r="A61" s="10" t="s">
        <v>58</v>
      </c>
      <c r="B61" s="10" t="s">
        <v>59</v>
      </c>
      <c r="C61" s="10" t="s">
        <v>60</v>
      </c>
      <c r="D61" s="11" t="s">
        <v>231</v>
      </c>
      <c r="E61" s="11"/>
      <c r="F61" s="10"/>
      <c r="G61" s="5" t="e">
        <f>VLOOKUP(D61,#REF!,7,FALSE)</f>
        <v>#REF!</v>
      </c>
      <c r="H61" s="10" t="s">
        <v>164</v>
      </c>
      <c r="I61" s="10"/>
      <c r="J61" s="87"/>
      <c r="K61" s="10" t="s">
        <v>64</v>
      </c>
      <c r="L61" s="10" t="s">
        <v>213</v>
      </c>
      <c r="M61" s="10" t="s">
        <v>76</v>
      </c>
      <c r="N61" s="13">
        <v>529679771</v>
      </c>
      <c r="O61" s="18">
        <v>46022</v>
      </c>
      <c r="P61" s="16">
        <v>46142</v>
      </c>
      <c r="Q61" s="16"/>
      <c r="R61" s="21"/>
      <c r="S61" s="10"/>
      <c r="T61" s="10"/>
      <c r="U61" s="10"/>
      <c r="V61" s="10"/>
      <c r="W61" s="10"/>
      <c r="X61" s="52"/>
      <c r="Y61" s="49" t="s">
        <v>71</v>
      </c>
      <c r="Z61" s="15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58"/>
      <c r="AM61" s="63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 spans="1:53" hidden="1">
      <c r="A62" s="10" t="s">
        <v>58</v>
      </c>
      <c r="B62" s="10" t="s">
        <v>68</v>
      </c>
      <c r="C62" s="10" t="s">
        <v>59</v>
      </c>
      <c r="D62" s="11" t="s">
        <v>232</v>
      </c>
      <c r="E62" s="11"/>
      <c r="F62" s="10"/>
      <c r="G62" s="5" t="e">
        <f>VLOOKUP(N62,#REF!,3,FALSE)</f>
        <v>#REF!</v>
      </c>
      <c r="H62" s="10" t="s">
        <v>233</v>
      </c>
      <c r="I62" s="10" t="s">
        <v>63</v>
      </c>
      <c r="J62" s="87"/>
      <c r="K62" s="10" t="s">
        <v>212</v>
      </c>
      <c r="L62" s="10" t="s">
        <v>213</v>
      </c>
      <c r="M62" s="10" t="s">
        <v>76</v>
      </c>
      <c r="N62" s="13">
        <v>499239127</v>
      </c>
      <c r="O62" s="18">
        <v>46022</v>
      </c>
      <c r="P62" s="16">
        <v>46115</v>
      </c>
      <c r="Q62" s="16"/>
      <c r="R62" s="16"/>
      <c r="S62" s="10"/>
      <c r="T62" s="10"/>
      <c r="U62" s="10"/>
      <c r="V62" s="10"/>
      <c r="W62" s="10"/>
      <c r="X62" s="52"/>
      <c r="Y62" s="49" t="s">
        <v>146</v>
      </c>
      <c r="Z62" s="10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3"/>
      <c r="AM62" s="63"/>
      <c r="AN62" s="10" t="s">
        <v>79</v>
      </c>
      <c r="AO62" s="10"/>
      <c r="AP62" s="10"/>
      <c r="AQ62" s="10" t="s">
        <v>60</v>
      </c>
      <c r="AR62" s="10"/>
      <c r="AS62" s="10"/>
      <c r="AT62" s="10"/>
      <c r="AU62" s="10"/>
      <c r="AV62" s="10"/>
      <c r="AW62" s="10"/>
      <c r="AX62" s="10" t="s">
        <v>60</v>
      </c>
      <c r="AY62" s="10" t="s">
        <v>60</v>
      </c>
      <c r="AZ62" s="10" t="s">
        <v>60</v>
      </c>
      <c r="BA62" s="10"/>
    </row>
    <row r="63" spans="1:53" hidden="1">
      <c r="A63" s="10" t="s">
        <v>58</v>
      </c>
      <c r="B63" s="10" t="s">
        <v>68</v>
      </c>
      <c r="C63" s="10" t="s">
        <v>95</v>
      </c>
      <c r="D63" s="11" t="s">
        <v>234</v>
      </c>
      <c r="E63" s="11"/>
      <c r="F63" s="11" t="s">
        <v>167</v>
      </c>
      <c r="G63" s="101" t="s">
        <v>168</v>
      </c>
      <c r="H63" s="11" t="s">
        <v>235</v>
      </c>
      <c r="I63" s="10" t="s">
        <v>74</v>
      </c>
      <c r="J63" s="87" t="s">
        <v>236</v>
      </c>
      <c r="K63" s="10" t="s">
        <v>75</v>
      </c>
      <c r="L63" s="10" t="s">
        <v>82</v>
      </c>
      <c r="M63" s="10" t="s">
        <v>66</v>
      </c>
      <c r="N63" s="13">
        <v>853060309</v>
      </c>
      <c r="O63" s="18">
        <v>46295</v>
      </c>
      <c r="P63" s="16">
        <v>46325</v>
      </c>
      <c r="Q63" s="16"/>
      <c r="R63" s="16"/>
      <c r="S63" s="10"/>
      <c r="T63" s="10"/>
      <c r="U63" s="10"/>
      <c r="V63" s="10"/>
      <c r="W63" s="10"/>
      <c r="X63" s="52"/>
      <c r="Y63" s="49" t="s">
        <v>77</v>
      </c>
      <c r="Z63" s="10">
        <v>21</v>
      </c>
      <c r="AA63" s="10" t="s">
        <v>78</v>
      </c>
      <c r="AB63" s="10"/>
      <c r="AC63" s="10"/>
      <c r="AD63" s="10"/>
      <c r="AE63" s="10"/>
      <c r="AF63" s="10"/>
      <c r="AG63" s="10"/>
      <c r="AH63" s="15"/>
      <c r="AI63" s="10"/>
      <c r="AJ63" s="10"/>
      <c r="AK63" s="10"/>
      <c r="AL63" s="58"/>
      <c r="AM63" s="63" t="s">
        <v>132</v>
      </c>
      <c r="AN63" s="10"/>
      <c r="AO63" s="10"/>
      <c r="AP63" s="10"/>
      <c r="AQ63" s="10" t="s">
        <v>60</v>
      </c>
      <c r="AR63" s="10"/>
      <c r="AS63" s="10"/>
      <c r="AT63" s="10"/>
      <c r="AU63" s="10"/>
      <c r="AV63" s="10"/>
      <c r="AW63" s="10"/>
      <c r="AX63" s="10" t="s">
        <v>60</v>
      </c>
      <c r="AY63" s="10" t="s">
        <v>60</v>
      </c>
      <c r="AZ63" s="10" t="s">
        <v>78</v>
      </c>
      <c r="BA63" s="10"/>
    </row>
    <row r="64" spans="1:53" ht="24" hidden="1">
      <c r="A64" s="10" t="s">
        <v>84</v>
      </c>
      <c r="B64" s="10" t="s">
        <v>94</v>
      </c>
      <c r="C64" s="10" t="s">
        <v>95</v>
      </c>
      <c r="D64" s="11" t="s">
        <v>237</v>
      </c>
      <c r="E64" s="11" t="s">
        <v>238</v>
      </c>
      <c r="F64" s="10" t="s">
        <v>239</v>
      </c>
      <c r="G64" s="101" t="s">
        <v>240</v>
      </c>
      <c r="H64" s="10"/>
      <c r="I64" s="10" t="s">
        <v>63</v>
      </c>
      <c r="J64" s="88" t="s">
        <v>241</v>
      </c>
      <c r="K64" s="10" t="s">
        <v>75</v>
      </c>
      <c r="L64" s="10" t="s">
        <v>120</v>
      </c>
      <c r="M64" s="10" t="s">
        <v>66</v>
      </c>
      <c r="N64" s="13">
        <v>829022920</v>
      </c>
      <c r="O64" s="18">
        <v>46112</v>
      </c>
      <c r="P64" s="16">
        <v>46142</v>
      </c>
      <c r="Q64" s="16"/>
      <c r="R64" s="11"/>
      <c r="S64" s="10"/>
      <c r="T64" s="10"/>
      <c r="U64" s="10"/>
      <c r="V64" s="10"/>
      <c r="W64" s="10"/>
      <c r="X64" s="52"/>
      <c r="Y64" s="49" t="s">
        <v>77</v>
      </c>
      <c r="Z64" s="15">
        <v>21</v>
      </c>
      <c r="AA64" s="10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59"/>
      <c r="AM64" s="64" t="s">
        <v>132</v>
      </c>
      <c r="AN64" s="10"/>
      <c r="AO64" s="10"/>
      <c r="AP64" s="10" t="s">
        <v>60</v>
      </c>
      <c r="AQ64" s="10"/>
      <c r="AR64" s="40"/>
      <c r="AS64" s="28"/>
      <c r="AT64" s="28"/>
      <c r="AU64" s="28"/>
      <c r="AV64" s="12"/>
      <c r="AW64" s="10"/>
      <c r="AX64" s="10"/>
      <c r="AY64" s="10"/>
      <c r="AZ64" s="10"/>
      <c r="BA64" s="10"/>
    </row>
    <row r="65" spans="1:53" hidden="1">
      <c r="A65" s="10" t="s">
        <v>58</v>
      </c>
      <c r="B65" s="10" t="s">
        <v>68</v>
      </c>
      <c r="C65" s="10" t="s">
        <v>60</v>
      </c>
      <c r="D65" s="11" t="s">
        <v>242</v>
      </c>
      <c r="E65" s="11"/>
      <c r="F65" s="11"/>
      <c r="G65" s="5"/>
      <c r="H65" s="11"/>
      <c r="I65" s="10" t="s">
        <v>74</v>
      </c>
      <c r="J65" s="87"/>
      <c r="K65" s="10" t="s">
        <v>212</v>
      </c>
      <c r="L65" s="10"/>
      <c r="M65" s="10"/>
      <c r="N65" s="13">
        <v>983860362</v>
      </c>
      <c r="O65" s="18">
        <v>46022</v>
      </c>
      <c r="P65" s="16">
        <v>46122</v>
      </c>
      <c r="Q65" s="16"/>
      <c r="R65" s="16"/>
      <c r="S65" s="10"/>
      <c r="T65" s="10"/>
      <c r="U65" s="10"/>
      <c r="V65" s="10"/>
      <c r="W65" s="10"/>
      <c r="X65" s="52"/>
      <c r="Y65" s="49" t="s">
        <v>77</v>
      </c>
      <c r="Z65" s="10"/>
      <c r="AA65" s="10" t="s">
        <v>112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58"/>
      <c r="AM65" s="63"/>
      <c r="AN65" s="10" t="s">
        <v>79</v>
      </c>
      <c r="AO65" s="10"/>
      <c r="AP65" s="10" t="s">
        <v>60</v>
      </c>
      <c r="AQ65" s="10" t="s">
        <v>60</v>
      </c>
      <c r="AR65" s="10"/>
      <c r="AS65" s="10"/>
      <c r="AT65" s="10"/>
      <c r="AU65" s="10"/>
      <c r="AV65" s="10"/>
      <c r="AW65" s="10"/>
      <c r="AX65" s="10"/>
      <c r="AY65" s="10"/>
      <c r="AZ65" s="10" t="s">
        <v>60</v>
      </c>
      <c r="BA65" s="10"/>
    </row>
    <row r="66" spans="1:53" hidden="1">
      <c r="A66" s="10" t="s">
        <v>58</v>
      </c>
      <c r="B66" s="10" t="s">
        <v>68</v>
      </c>
      <c r="C66" s="10" t="s">
        <v>95</v>
      </c>
      <c r="D66" s="11" t="s">
        <v>243</v>
      </c>
      <c r="E66" s="11"/>
      <c r="F66" s="10" t="s">
        <v>244</v>
      </c>
      <c r="G66" s="101" t="s">
        <v>245</v>
      </c>
      <c r="H66" s="10"/>
      <c r="I66" s="10" t="s">
        <v>74</v>
      </c>
      <c r="J66" s="89" t="s">
        <v>246</v>
      </c>
      <c r="K66" s="10" t="s">
        <v>75</v>
      </c>
      <c r="L66" s="10" t="s">
        <v>82</v>
      </c>
      <c r="M66" s="10" t="s">
        <v>66</v>
      </c>
      <c r="N66" s="13">
        <v>493886832</v>
      </c>
      <c r="O66" s="18">
        <v>46022</v>
      </c>
      <c r="P66" s="16"/>
      <c r="Q66" s="16"/>
      <c r="R66" s="16"/>
      <c r="S66" s="10"/>
      <c r="T66" s="10"/>
      <c r="U66" s="10"/>
      <c r="V66" s="10"/>
      <c r="W66" s="10"/>
      <c r="X66" s="52"/>
      <c r="Y66" s="49" t="s">
        <v>77</v>
      </c>
      <c r="Z66" s="15">
        <v>21</v>
      </c>
      <c r="AA66" s="10" t="s">
        <v>112</v>
      </c>
      <c r="AB66" s="15"/>
      <c r="AC66" s="15"/>
      <c r="AD66" s="15"/>
      <c r="AE66" s="15"/>
      <c r="AF66" s="15"/>
      <c r="AG66" s="15"/>
      <c r="AH66" s="15"/>
      <c r="AI66" s="10"/>
      <c r="AJ66" s="15"/>
      <c r="AK66" s="15"/>
      <c r="AL66" s="59"/>
      <c r="AM66" s="63" t="s">
        <v>132</v>
      </c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hidden="1">
      <c r="A67" s="10" t="s">
        <v>84</v>
      </c>
      <c r="B67" s="10" t="s">
        <v>68</v>
      </c>
      <c r="C67" s="10" t="s">
        <v>60</v>
      </c>
      <c r="D67" s="11" t="s">
        <v>247</v>
      </c>
      <c r="E67" s="11"/>
      <c r="F67" s="10"/>
      <c r="G67" s="5" t="e">
        <f>VLOOKUP(N67,#REF!,3,FALSE)</f>
        <v>#REF!</v>
      </c>
      <c r="H67" s="10"/>
      <c r="I67" s="10" t="s">
        <v>105</v>
      </c>
      <c r="J67" s="87"/>
      <c r="K67" s="10" t="s">
        <v>101</v>
      </c>
      <c r="L67" s="10" t="s">
        <v>248</v>
      </c>
      <c r="M67" s="10" t="s">
        <v>66</v>
      </c>
      <c r="N67" s="13">
        <v>892011792</v>
      </c>
      <c r="O67" s="18">
        <v>46022</v>
      </c>
      <c r="P67" s="16">
        <v>46143</v>
      </c>
      <c r="Q67" s="16"/>
      <c r="R67" s="16"/>
      <c r="S67" s="10"/>
      <c r="T67" s="10"/>
      <c r="U67" s="10"/>
      <c r="V67" s="10"/>
      <c r="W67" s="10"/>
      <c r="X67" s="52"/>
      <c r="Y67" s="49" t="s">
        <v>77</v>
      </c>
      <c r="Z67" s="10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3"/>
      <c r="AM67" s="63"/>
      <c r="AN67" s="10" t="s">
        <v>79</v>
      </c>
      <c r="AO67" s="10"/>
      <c r="AP67" s="10" t="s">
        <v>60</v>
      </c>
      <c r="AQ67" s="10" t="s">
        <v>60</v>
      </c>
      <c r="AR67" s="10"/>
      <c r="AS67" s="10"/>
      <c r="AT67" s="11"/>
      <c r="AU67" s="11"/>
      <c r="AV67" s="11"/>
      <c r="AW67" s="10"/>
      <c r="AX67" s="10" t="s">
        <v>60</v>
      </c>
      <c r="AY67" s="10" t="s">
        <v>60</v>
      </c>
      <c r="AZ67" s="10" t="s">
        <v>60</v>
      </c>
      <c r="BA67" s="10"/>
    </row>
    <row r="68" spans="1:53">
      <c r="A68" s="10" t="s">
        <v>84</v>
      </c>
      <c r="B68" s="10" t="s">
        <v>94</v>
      </c>
      <c r="C68" s="10" t="s">
        <v>85</v>
      </c>
      <c r="D68" s="11" t="s">
        <v>249</v>
      </c>
      <c r="E68" s="11" t="s">
        <v>250</v>
      </c>
      <c r="F68" s="10"/>
      <c r="G68" s="5" t="e">
        <f>VLOOKUP(N68,#REF!,3,FALSE)</f>
        <v>#REF!</v>
      </c>
      <c r="H68" s="10"/>
      <c r="I68" s="10" t="s">
        <v>63</v>
      </c>
      <c r="J68" s="72" t="s">
        <v>251</v>
      </c>
      <c r="K68" s="10" t="s">
        <v>64</v>
      </c>
      <c r="L68" s="10" t="s">
        <v>120</v>
      </c>
      <c r="M68" s="10" t="s">
        <v>66</v>
      </c>
      <c r="N68" s="19">
        <v>917629875</v>
      </c>
      <c r="O68" s="18">
        <v>46265</v>
      </c>
      <c r="P68" s="16">
        <v>46295</v>
      </c>
      <c r="Q68" s="16"/>
      <c r="R68" s="11"/>
      <c r="S68" s="10"/>
      <c r="T68" s="10"/>
      <c r="U68" s="10"/>
      <c r="V68" s="10"/>
      <c r="W68" s="10"/>
      <c r="X68" s="52"/>
      <c r="Y68" s="49" t="s">
        <v>77</v>
      </c>
      <c r="Z68" s="15">
        <v>21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58"/>
      <c r="AM68" s="63"/>
      <c r="AN68" s="10" t="s">
        <v>197</v>
      </c>
      <c r="AO68" s="10"/>
      <c r="AP68" s="10"/>
      <c r="AQ68" s="10"/>
      <c r="AR68" s="104" t="s">
        <v>184</v>
      </c>
      <c r="AS68" s="10"/>
      <c r="AT68" s="10"/>
      <c r="AU68" s="10"/>
      <c r="AV68" s="10"/>
      <c r="AW68" s="10"/>
      <c r="AX68" s="10"/>
      <c r="AY68" s="10"/>
      <c r="AZ68" s="10"/>
      <c r="BA68" s="10"/>
    </row>
    <row r="69" spans="1:53" hidden="1">
      <c r="A69" s="10" t="s">
        <v>84</v>
      </c>
      <c r="B69" s="10" t="s">
        <v>68</v>
      </c>
      <c r="C69" s="10" t="s">
        <v>60</v>
      </c>
      <c r="D69" s="11" t="s">
        <v>252</v>
      </c>
      <c r="E69" s="11" t="s">
        <v>253</v>
      </c>
      <c r="F69" s="10"/>
      <c r="G69" s="5" t="e">
        <f>VLOOKUP(N69,#REF!,3,FALSE)</f>
        <v>#REF!</v>
      </c>
      <c r="H69" s="10"/>
      <c r="I69" s="10" t="s">
        <v>74</v>
      </c>
      <c r="J69" s="87"/>
      <c r="K69" s="10" t="s">
        <v>212</v>
      </c>
      <c r="L69" s="10" t="s">
        <v>65</v>
      </c>
      <c r="M69" s="10" t="s">
        <v>66</v>
      </c>
      <c r="N69" s="19">
        <v>901738559</v>
      </c>
      <c r="O69" s="18">
        <v>46022</v>
      </c>
      <c r="P69" s="16">
        <v>46073</v>
      </c>
      <c r="Q69" s="16" t="s">
        <v>152</v>
      </c>
      <c r="R69" s="16"/>
      <c r="S69" s="10"/>
      <c r="T69" s="10"/>
      <c r="U69" s="10"/>
      <c r="V69" s="10"/>
      <c r="W69" s="10"/>
      <c r="X69" s="52"/>
      <c r="Y69" s="49" t="s">
        <v>71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58"/>
      <c r="AM69" s="63"/>
      <c r="AN69" s="10"/>
      <c r="AO69" s="10"/>
      <c r="AP69" s="10"/>
      <c r="AQ69" s="10" t="s">
        <v>60</v>
      </c>
      <c r="AR69" s="10"/>
      <c r="AS69" s="10"/>
      <c r="AT69" s="11"/>
      <c r="AU69" s="11"/>
      <c r="AV69" s="11"/>
      <c r="AW69" s="10"/>
      <c r="AX69" s="10" t="s">
        <v>60</v>
      </c>
      <c r="AY69" s="10" t="s">
        <v>60</v>
      </c>
      <c r="AZ69" s="10" t="s">
        <v>60</v>
      </c>
      <c r="BA69" s="10"/>
    </row>
    <row r="70" spans="1:53">
      <c r="A70" s="10" t="s">
        <v>84</v>
      </c>
      <c r="B70" s="10" t="s">
        <v>94</v>
      </c>
      <c r="C70" s="10" t="s">
        <v>85</v>
      </c>
      <c r="D70" s="11" t="s">
        <v>254</v>
      </c>
      <c r="E70" s="11" t="s">
        <v>255</v>
      </c>
      <c r="F70" s="10"/>
      <c r="G70" s="5" t="e">
        <f>VLOOKUP(N70,#REF!,3,FALSE)</f>
        <v>#REF!</v>
      </c>
      <c r="H70" s="10"/>
      <c r="I70" s="10" t="s">
        <v>63</v>
      </c>
      <c r="J70" s="72" t="s">
        <v>251</v>
      </c>
      <c r="K70" s="10" t="s">
        <v>64</v>
      </c>
      <c r="L70" s="10" t="s">
        <v>82</v>
      </c>
      <c r="M70" s="10" t="s">
        <v>66</v>
      </c>
      <c r="N70" s="13">
        <v>891637282</v>
      </c>
      <c r="O70" s="18">
        <v>46022</v>
      </c>
      <c r="P70" s="16">
        <v>46112</v>
      </c>
      <c r="Q70" s="16"/>
      <c r="R70" s="31"/>
      <c r="S70" s="10"/>
      <c r="T70" s="10"/>
      <c r="U70" s="10"/>
      <c r="V70" s="10"/>
      <c r="W70" s="10"/>
      <c r="X70" s="52"/>
      <c r="Y70" s="49" t="s">
        <v>77</v>
      </c>
      <c r="Z70" s="15">
        <v>21</v>
      </c>
      <c r="AA70" s="10" t="s">
        <v>78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58"/>
      <c r="AM70" s="63"/>
      <c r="AN70" s="10"/>
      <c r="AO70" s="10"/>
      <c r="AP70" s="10"/>
      <c r="AQ70" s="10"/>
      <c r="AR70" s="106" t="s">
        <v>90</v>
      </c>
      <c r="AS70" s="30"/>
      <c r="AT70" s="30"/>
      <c r="AU70" s="30"/>
      <c r="AV70" s="10"/>
      <c r="AW70" s="10"/>
      <c r="AX70" s="10"/>
      <c r="AY70" s="10"/>
      <c r="AZ70" s="10"/>
      <c r="BA70" s="10"/>
    </row>
    <row r="71" spans="1:53" hidden="1">
      <c r="A71" s="10" t="s">
        <v>58</v>
      </c>
      <c r="B71" s="10" t="s">
        <v>95</v>
      </c>
      <c r="C71" s="10" t="s">
        <v>95</v>
      </c>
      <c r="D71" s="11" t="s">
        <v>256</v>
      </c>
      <c r="E71" s="11" t="s">
        <v>257</v>
      </c>
      <c r="F71" s="10" t="s">
        <v>204</v>
      </c>
      <c r="G71" s="101" t="s">
        <v>205</v>
      </c>
      <c r="H71" s="10"/>
      <c r="I71" s="10" t="s">
        <v>63</v>
      </c>
      <c r="J71" s="87"/>
      <c r="K71" s="10" t="s">
        <v>212</v>
      </c>
      <c r="L71" s="10" t="s">
        <v>161</v>
      </c>
      <c r="M71" s="10" t="s">
        <v>76</v>
      </c>
      <c r="N71" s="13">
        <v>894906627</v>
      </c>
      <c r="O71" s="18">
        <v>46022</v>
      </c>
      <c r="P71" s="16">
        <v>46115</v>
      </c>
      <c r="Q71" s="16"/>
      <c r="R71" s="18"/>
      <c r="S71" s="10"/>
      <c r="T71" s="10"/>
      <c r="U71" s="10"/>
      <c r="V71" s="10"/>
      <c r="W71" s="10"/>
      <c r="X71" s="52"/>
      <c r="Y71" s="49" t="s">
        <v>146</v>
      </c>
      <c r="Z71" s="15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58"/>
      <c r="AM71" s="63" t="s">
        <v>258</v>
      </c>
      <c r="AN71" s="10" t="s">
        <v>108</v>
      </c>
      <c r="AO71" s="10"/>
      <c r="AP71" s="10" t="s">
        <v>60</v>
      </c>
      <c r="AQ71" s="10" t="s">
        <v>60</v>
      </c>
      <c r="AR71" s="10"/>
      <c r="AS71" s="10"/>
      <c r="AT71" s="10"/>
      <c r="AU71" s="10"/>
      <c r="AV71" s="10"/>
      <c r="AW71" s="10"/>
      <c r="AX71" s="10" t="s">
        <v>60</v>
      </c>
      <c r="AY71" s="10" t="s">
        <v>60</v>
      </c>
      <c r="AZ71" s="10" t="s">
        <v>60</v>
      </c>
      <c r="BA71" s="10"/>
    </row>
    <row r="72" spans="1:53" ht="120">
      <c r="A72" s="10" t="s">
        <v>84</v>
      </c>
      <c r="B72" s="10" t="s">
        <v>94</v>
      </c>
      <c r="C72" s="10" t="s">
        <v>85</v>
      </c>
      <c r="D72" s="11" t="s">
        <v>259</v>
      </c>
      <c r="E72" s="11"/>
      <c r="F72" s="11"/>
      <c r="G72" s="5"/>
      <c r="H72" s="11"/>
      <c r="I72" s="10" t="s">
        <v>74</v>
      </c>
      <c r="J72" s="72" t="s">
        <v>260</v>
      </c>
      <c r="K72" s="10" t="s">
        <v>64</v>
      </c>
      <c r="L72" s="10" t="s">
        <v>213</v>
      </c>
      <c r="M72" s="10"/>
      <c r="N72" s="13">
        <v>520977364</v>
      </c>
      <c r="O72" s="18">
        <v>46022</v>
      </c>
      <c r="P72" s="16">
        <v>46069</v>
      </c>
      <c r="Q72" s="16"/>
      <c r="R72" s="18"/>
      <c r="S72" s="10"/>
      <c r="T72" s="10"/>
      <c r="U72" s="10"/>
      <c r="V72" s="10"/>
      <c r="W72" s="10"/>
      <c r="X72" s="52"/>
      <c r="Y72" s="49" t="s">
        <v>77</v>
      </c>
      <c r="Z72" s="15">
        <v>24</v>
      </c>
      <c r="AA72" s="10"/>
      <c r="AB72" s="15"/>
      <c r="AC72" s="15"/>
      <c r="AD72" s="15"/>
      <c r="AE72" s="10"/>
      <c r="AF72" s="10"/>
      <c r="AG72" s="10"/>
      <c r="AH72" s="10"/>
      <c r="AI72" s="10"/>
      <c r="AJ72" s="10"/>
      <c r="AK72" s="10"/>
      <c r="AL72" s="58"/>
      <c r="AM72" s="63"/>
      <c r="AN72" s="10"/>
      <c r="AO72" s="10"/>
      <c r="AP72" s="10"/>
      <c r="AQ72" s="10"/>
      <c r="AR72" s="10"/>
      <c r="AS72" s="18"/>
      <c r="AT72" s="18"/>
      <c r="AU72" s="30"/>
      <c r="AV72" s="10"/>
      <c r="AW72" s="10"/>
      <c r="AX72" s="10"/>
      <c r="AY72" s="10"/>
      <c r="AZ72" s="10"/>
      <c r="BA72" s="10"/>
    </row>
    <row r="73" spans="1:53" ht="60">
      <c r="A73" s="10" t="s">
        <v>84</v>
      </c>
      <c r="B73" s="10" t="s">
        <v>94</v>
      </c>
      <c r="C73" s="10" t="s">
        <v>85</v>
      </c>
      <c r="D73" s="11" t="s">
        <v>261</v>
      </c>
      <c r="E73" s="11"/>
      <c r="F73" s="11"/>
      <c r="G73" s="5"/>
      <c r="H73" s="11"/>
      <c r="I73" s="10" t="s">
        <v>74</v>
      </c>
      <c r="J73" s="72" t="s">
        <v>262</v>
      </c>
      <c r="K73" s="10" t="s">
        <v>64</v>
      </c>
      <c r="L73" s="10" t="s">
        <v>263</v>
      </c>
      <c r="M73" s="10" t="s">
        <v>66</v>
      </c>
      <c r="N73" s="13">
        <v>924314982</v>
      </c>
      <c r="O73" s="18">
        <v>46022</v>
      </c>
      <c r="P73" s="16">
        <v>46069</v>
      </c>
      <c r="Q73" s="16"/>
      <c r="R73" s="18"/>
      <c r="S73" s="10"/>
      <c r="T73" s="10"/>
      <c r="U73" s="10"/>
      <c r="V73" s="10"/>
      <c r="W73" s="10"/>
      <c r="X73" s="52"/>
      <c r="Y73" s="49" t="s">
        <v>77</v>
      </c>
      <c r="Z73" s="15">
        <v>24</v>
      </c>
      <c r="AA73" s="10"/>
      <c r="AB73" s="10"/>
      <c r="AC73" s="10"/>
      <c r="AD73" s="15"/>
      <c r="AE73" s="15"/>
      <c r="AF73" s="15"/>
      <c r="AG73" s="15"/>
      <c r="AH73" s="15"/>
      <c r="AI73" s="15"/>
      <c r="AJ73" s="15"/>
      <c r="AK73" s="10"/>
      <c r="AL73" s="58"/>
      <c r="AM73" s="63"/>
      <c r="AN73" s="10"/>
      <c r="AO73" s="10"/>
      <c r="AP73" s="10"/>
      <c r="AQ73" s="10"/>
      <c r="AR73" s="30"/>
      <c r="AS73" s="30"/>
      <c r="AT73" s="30"/>
      <c r="AU73" s="30"/>
      <c r="AV73" s="10"/>
      <c r="AW73" s="10"/>
      <c r="AX73" s="10"/>
      <c r="AY73" s="10"/>
      <c r="AZ73" s="10"/>
      <c r="BA73" s="10"/>
    </row>
    <row r="74" spans="1:53" hidden="1">
      <c r="A74" s="10" t="s">
        <v>58</v>
      </c>
      <c r="B74" s="10" t="s">
        <v>59</v>
      </c>
      <c r="C74" s="10" t="s">
        <v>60</v>
      </c>
      <c r="D74" s="11" t="s">
        <v>264</v>
      </c>
      <c r="E74" s="11"/>
      <c r="F74" s="10"/>
      <c r="G74" s="5" t="e">
        <f>VLOOKUP(N74,#REF!,3,FALSE)</f>
        <v>#REF!</v>
      </c>
      <c r="H74" s="10"/>
      <c r="I74" s="10"/>
      <c r="J74" s="87"/>
      <c r="K74" s="10" t="s">
        <v>64</v>
      </c>
      <c r="L74" s="10" t="s">
        <v>82</v>
      </c>
      <c r="M74" s="10" t="s">
        <v>66</v>
      </c>
      <c r="N74" s="13">
        <v>879617801</v>
      </c>
      <c r="O74" s="18">
        <v>46022</v>
      </c>
      <c r="P74" s="16"/>
      <c r="Q74" s="16"/>
      <c r="R74" s="24"/>
      <c r="S74" s="10"/>
      <c r="T74" s="10"/>
      <c r="U74" s="10"/>
      <c r="V74" s="10"/>
      <c r="W74" s="10"/>
      <c r="X74" s="52"/>
      <c r="Y74" s="49" t="s">
        <v>77</v>
      </c>
      <c r="Z74" s="15">
        <v>21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58"/>
      <c r="AM74" s="63"/>
      <c r="AN74" s="18"/>
      <c r="AO74" s="10"/>
      <c r="AP74" s="10"/>
      <c r="AQ74" s="10"/>
      <c r="AR74" s="10"/>
      <c r="AS74" s="10"/>
      <c r="AT74" s="10"/>
      <c r="AU74" s="10"/>
      <c r="AV74" s="10"/>
      <c r="AW74" s="15"/>
      <c r="AX74" s="10"/>
      <c r="AY74" s="10"/>
      <c r="AZ74" s="10"/>
      <c r="BA74" s="10"/>
    </row>
    <row r="75" spans="1:53" hidden="1">
      <c r="A75" s="10" t="s">
        <v>84</v>
      </c>
      <c r="B75" s="10" t="s">
        <v>68</v>
      </c>
      <c r="C75" s="10" t="s">
        <v>95</v>
      </c>
      <c r="D75" s="11" t="s">
        <v>265</v>
      </c>
      <c r="E75" s="11" t="s">
        <v>266</v>
      </c>
      <c r="F75" s="11"/>
      <c r="G75" s="5"/>
      <c r="H75" s="11"/>
      <c r="I75" s="10" t="s">
        <v>74</v>
      </c>
      <c r="J75" s="89"/>
      <c r="K75" s="10" t="s">
        <v>101</v>
      </c>
      <c r="L75" s="10" t="s">
        <v>65</v>
      </c>
      <c r="M75" s="10" t="s">
        <v>66</v>
      </c>
      <c r="N75" s="19">
        <v>499389302</v>
      </c>
      <c r="O75" s="18">
        <v>46022</v>
      </c>
      <c r="P75" s="16">
        <v>46094</v>
      </c>
      <c r="Q75" s="16"/>
      <c r="R75" s="16"/>
      <c r="S75" s="10"/>
      <c r="T75" s="10"/>
      <c r="U75" s="10"/>
      <c r="V75" s="10"/>
      <c r="W75" s="10"/>
      <c r="X75" s="52"/>
      <c r="Y75" s="49" t="s">
        <v>77</v>
      </c>
      <c r="Z75" s="10">
        <v>24</v>
      </c>
      <c r="AA75" s="10" t="s">
        <v>78</v>
      </c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58"/>
      <c r="AM75" s="63"/>
      <c r="AN75" s="10"/>
      <c r="AO75" s="10"/>
      <c r="AP75" s="10"/>
      <c r="AQ75" s="10" t="s">
        <v>60</v>
      </c>
      <c r="AR75" s="10"/>
      <c r="AS75" s="10"/>
      <c r="AT75" s="11"/>
      <c r="AU75" s="11"/>
      <c r="AV75" s="10"/>
      <c r="AW75" s="10"/>
      <c r="AX75" s="10" t="s">
        <v>60</v>
      </c>
      <c r="AY75" s="10" t="s">
        <v>60</v>
      </c>
      <c r="AZ75" s="10" t="s">
        <v>78</v>
      </c>
      <c r="BA75" s="10"/>
    </row>
    <row r="76" spans="1:53" hidden="1">
      <c r="A76" s="10" t="s">
        <v>84</v>
      </c>
      <c r="B76" s="10" t="s">
        <v>94</v>
      </c>
      <c r="C76" s="10" t="s">
        <v>60</v>
      </c>
      <c r="D76" s="11" t="s">
        <v>267</v>
      </c>
      <c r="E76" s="11"/>
      <c r="F76" s="10"/>
      <c r="G76" s="5" t="e">
        <f>VLOOKUP(N76,#REF!,3,FALSE)</f>
        <v>#REF!</v>
      </c>
      <c r="H76" s="10" t="s">
        <v>268</v>
      </c>
      <c r="I76" s="10" t="s">
        <v>142</v>
      </c>
      <c r="J76" s="88"/>
      <c r="K76" s="10"/>
      <c r="L76" s="10"/>
      <c r="M76" s="10" t="s">
        <v>76</v>
      </c>
      <c r="N76" s="13"/>
      <c r="O76" s="18"/>
      <c r="P76" s="16"/>
      <c r="Q76" s="16"/>
      <c r="R76" s="11"/>
      <c r="S76" s="10"/>
      <c r="T76" s="10"/>
      <c r="U76" s="10"/>
      <c r="V76" s="10"/>
      <c r="W76" s="10"/>
      <c r="X76" s="52"/>
      <c r="Y76" s="49"/>
      <c r="Z76" s="15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58"/>
      <c r="AM76" s="63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 spans="1:53">
      <c r="A77" s="10" t="s">
        <v>84</v>
      </c>
      <c r="B77" s="10" t="s">
        <v>94</v>
      </c>
      <c r="C77" s="10" t="s">
        <v>85</v>
      </c>
      <c r="D77" s="23" t="s">
        <v>269</v>
      </c>
      <c r="E77" s="11" t="s">
        <v>270</v>
      </c>
      <c r="F77" s="10"/>
      <c r="G77" s="5"/>
      <c r="H77" s="10"/>
      <c r="I77" s="10" t="s">
        <v>63</v>
      </c>
      <c r="J77" s="71"/>
      <c r="K77" s="10" t="s">
        <v>64</v>
      </c>
      <c r="L77" s="10" t="s">
        <v>82</v>
      </c>
      <c r="M77" s="10" t="s">
        <v>66</v>
      </c>
      <c r="N77" s="13">
        <v>493527519</v>
      </c>
      <c r="O77" s="18">
        <v>46022</v>
      </c>
      <c r="P77" s="16">
        <v>46098</v>
      </c>
      <c r="Q77" s="16"/>
      <c r="R77" s="41"/>
      <c r="S77" s="10"/>
      <c r="T77" s="10"/>
      <c r="U77" s="10"/>
      <c r="V77" s="10"/>
      <c r="W77" s="10"/>
      <c r="X77" s="52"/>
      <c r="Y77" s="49" t="s">
        <v>77</v>
      </c>
      <c r="Z77" s="15">
        <v>21</v>
      </c>
      <c r="AA77" s="10" t="s">
        <v>78</v>
      </c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58"/>
      <c r="AM77" s="63"/>
      <c r="AN77" s="10"/>
      <c r="AO77" s="10"/>
      <c r="AP77" s="10"/>
      <c r="AQ77" s="10"/>
      <c r="AR77" s="105" t="s">
        <v>271</v>
      </c>
      <c r="AS77" s="30"/>
      <c r="AT77" s="30"/>
      <c r="AU77" s="30"/>
      <c r="AV77" s="10"/>
      <c r="AW77" s="10"/>
      <c r="AX77" s="10"/>
      <c r="AY77" s="10"/>
      <c r="AZ77" s="15" t="s">
        <v>185</v>
      </c>
      <c r="BA77" s="10" t="s">
        <v>78</v>
      </c>
    </row>
    <row r="78" spans="1:53" hidden="1">
      <c r="A78" s="10" t="s">
        <v>84</v>
      </c>
      <c r="B78" s="10" t="s">
        <v>68</v>
      </c>
      <c r="C78" s="10" t="s">
        <v>59</v>
      </c>
      <c r="D78" s="11" t="s">
        <v>272</v>
      </c>
      <c r="E78" s="11"/>
      <c r="F78" s="11"/>
      <c r="G78" s="5"/>
      <c r="H78" s="11"/>
      <c r="I78" s="10" t="s">
        <v>74</v>
      </c>
      <c r="J78" s="87"/>
      <c r="K78" s="10" t="s">
        <v>75</v>
      </c>
      <c r="L78" s="10" t="s">
        <v>65</v>
      </c>
      <c r="M78" s="10" t="s">
        <v>76</v>
      </c>
      <c r="N78" s="13">
        <v>990610289</v>
      </c>
      <c r="O78" s="18">
        <v>46022</v>
      </c>
      <c r="P78" s="16">
        <v>46129</v>
      </c>
      <c r="Q78" s="16"/>
      <c r="R78" s="16"/>
      <c r="S78" s="10" t="s">
        <v>273</v>
      </c>
      <c r="T78" s="10"/>
      <c r="U78" s="10"/>
      <c r="V78" s="10"/>
      <c r="W78" s="10"/>
      <c r="X78" s="52"/>
      <c r="Y78" s="49" t="s">
        <v>77</v>
      </c>
      <c r="Z78" s="15">
        <v>24</v>
      </c>
      <c r="AA78" s="10" t="s">
        <v>78</v>
      </c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58"/>
      <c r="AM78" s="63" t="s">
        <v>132</v>
      </c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 spans="1:53" hidden="1">
      <c r="A79" s="10" t="s">
        <v>84</v>
      </c>
      <c r="B79" s="10" t="s">
        <v>95</v>
      </c>
      <c r="C79" s="10" t="s">
        <v>95</v>
      </c>
      <c r="D79" s="11" t="s">
        <v>274</v>
      </c>
      <c r="E79" s="11" t="s">
        <v>275</v>
      </c>
      <c r="F79" s="10" t="s">
        <v>276</v>
      </c>
      <c r="G79" s="101" t="s">
        <v>277</v>
      </c>
      <c r="H79" s="10"/>
      <c r="I79" s="10" t="s">
        <v>63</v>
      </c>
      <c r="J79" s="87"/>
      <c r="K79" s="10" t="s">
        <v>212</v>
      </c>
      <c r="L79" s="10" t="s">
        <v>278</v>
      </c>
      <c r="M79" s="10" t="s">
        <v>76</v>
      </c>
      <c r="N79" s="13">
        <v>881846497</v>
      </c>
      <c r="O79" s="18">
        <v>46203</v>
      </c>
      <c r="P79" s="16" t="s">
        <v>279</v>
      </c>
      <c r="Q79" s="16"/>
      <c r="R79" s="11"/>
      <c r="S79" s="10"/>
      <c r="T79" s="10"/>
      <c r="U79" s="10"/>
      <c r="V79" s="10"/>
      <c r="W79" s="10"/>
      <c r="X79" s="52"/>
      <c r="Y79" s="49" t="s">
        <v>67</v>
      </c>
      <c r="Z79" s="15">
        <v>21</v>
      </c>
      <c r="AA79" s="10"/>
      <c r="AB79" s="10"/>
      <c r="AC79" s="15"/>
      <c r="AD79" s="10"/>
      <c r="AE79" s="10"/>
      <c r="AF79" s="15"/>
      <c r="AG79" s="10"/>
      <c r="AH79" s="10"/>
      <c r="AI79" s="10"/>
      <c r="AJ79" s="10"/>
      <c r="AK79" s="10"/>
      <c r="AL79" s="59"/>
      <c r="AM79" s="64" t="s">
        <v>280</v>
      </c>
      <c r="AN79" s="10"/>
      <c r="AO79" s="10"/>
      <c r="AP79" s="10" t="s">
        <v>60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 t="s">
        <v>78</v>
      </c>
    </row>
    <row r="80" spans="1:53" hidden="1">
      <c r="A80" s="10" t="s">
        <v>84</v>
      </c>
      <c r="B80" s="10" t="s">
        <v>68</v>
      </c>
      <c r="C80" s="10"/>
      <c r="D80" s="11" t="s">
        <v>281</v>
      </c>
      <c r="E80" s="11"/>
      <c r="F80" s="11"/>
      <c r="G80" s="5"/>
      <c r="H80" s="11"/>
      <c r="I80" s="10" t="s">
        <v>142</v>
      </c>
      <c r="J80" s="87"/>
      <c r="K80" s="10" t="s">
        <v>75</v>
      </c>
      <c r="L80" s="10" t="s">
        <v>65</v>
      </c>
      <c r="M80" s="10" t="s">
        <v>66</v>
      </c>
      <c r="N80" s="13">
        <v>805273083</v>
      </c>
      <c r="O80" s="18">
        <v>46203</v>
      </c>
      <c r="P80" s="16">
        <f>O80+30</f>
        <v>46233</v>
      </c>
      <c r="Q80" s="16"/>
      <c r="R80" s="16"/>
      <c r="S80" s="10"/>
      <c r="T80" s="10"/>
      <c r="U80" s="10"/>
      <c r="V80" s="10"/>
      <c r="W80" s="10"/>
      <c r="X80" s="52"/>
      <c r="Y80" s="49" t="s">
        <v>77</v>
      </c>
      <c r="Z80" s="10">
        <v>24</v>
      </c>
      <c r="AA80" s="10" t="s">
        <v>78</v>
      </c>
      <c r="AB80" s="10"/>
      <c r="AC80" s="10"/>
      <c r="AD80" s="10"/>
      <c r="AE80" s="10"/>
      <c r="AF80" s="10"/>
      <c r="AG80" s="10"/>
      <c r="AH80" s="10"/>
      <c r="AI80" s="10"/>
      <c r="AJ80" s="15"/>
      <c r="AK80" s="15"/>
      <c r="AL80" s="59"/>
      <c r="AM80" s="63"/>
      <c r="AN80" s="10" t="s">
        <v>79</v>
      </c>
      <c r="AO80" s="10"/>
      <c r="AP80" s="10" t="s">
        <v>60</v>
      </c>
      <c r="AQ80" s="10" t="s">
        <v>282</v>
      </c>
      <c r="AR80" s="10"/>
      <c r="AS80" s="10"/>
      <c r="AT80" s="10"/>
      <c r="AU80" s="10"/>
      <c r="AV80" s="10"/>
      <c r="AW80" s="10"/>
      <c r="AX80" s="10" t="s">
        <v>60</v>
      </c>
      <c r="AY80" s="10" t="s">
        <v>60</v>
      </c>
      <c r="AZ80" s="10" t="s">
        <v>60</v>
      </c>
      <c r="BA80" s="10" t="s">
        <v>283</v>
      </c>
    </row>
    <row r="81" spans="1:53" hidden="1">
      <c r="A81" s="10" t="s">
        <v>58</v>
      </c>
      <c r="B81" s="10" t="s">
        <v>68</v>
      </c>
      <c r="C81" s="10" t="s">
        <v>59</v>
      </c>
      <c r="D81" s="11" t="s">
        <v>284</v>
      </c>
      <c r="E81" s="11"/>
      <c r="F81" s="10"/>
      <c r="G81" s="5" t="e">
        <f>VLOOKUP(N81,#REF!,3,FALSE)</f>
        <v>#REF!</v>
      </c>
      <c r="H81" s="10"/>
      <c r="I81" s="10" t="s">
        <v>74</v>
      </c>
      <c r="J81" s="87" t="s">
        <v>165</v>
      </c>
      <c r="K81" s="10" t="s">
        <v>75</v>
      </c>
      <c r="L81" s="10" t="s">
        <v>82</v>
      </c>
      <c r="M81" s="10" t="s">
        <v>66</v>
      </c>
      <c r="N81" s="13">
        <v>895191278</v>
      </c>
      <c r="O81" s="18">
        <v>46022</v>
      </c>
      <c r="P81" s="102">
        <v>46059</v>
      </c>
      <c r="Q81" s="102" t="s">
        <v>285</v>
      </c>
      <c r="R81" s="16"/>
      <c r="S81" s="10" t="s">
        <v>286</v>
      </c>
      <c r="T81" s="10"/>
      <c r="U81" s="10"/>
      <c r="V81" s="10"/>
      <c r="W81" s="10"/>
      <c r="X81" s="52"/>
      <c r="Y81" s="49" t="s">
        <v>77</v>
      </c>
      <c r="Z81" s="10">
        <v>21</v>
      </c>
      <c r="AA81" s="10" t="s">
        <v>112</v>
      </c>
      <c r="AB81" s="10"/>
      <c r="AC81" s="10"/>
      <c r="AD81" s="10"/>
      <c r="AE81" s="10"/>
      <c r="AF81" s="10"/>
      <c r="AG81" s="10"/>
      <c r="AH81" s="11"/>
      <c r="AI81" s="10"/>
      <c r="AJ81" s="10"/>
      <c r="AK81" s="10"/>
      <c r="AL81" s="58"/>
      <c r="AM81" s="63"/>
      <c r="AN81" s="10" t="s">
        <v>79</v>
      </c>
      <c r="AO81" s="10"/>
      <c r="AP81" s="10" t="s">
        <v>287</v>
      </c>
      <c r="AQ81" s="10" t="s">
        <v>60</v>
      </c>
      <c r="AR81" s="10"/>
      <c r="AS81" s="10"/>
      <c r="AT81" s="11"/>
      <c r="AU81" s="11"/>
      <c r="AV81" s="10"/>
      <c r="AW81" s="10"/>
      <c r="AX81" s="10" t="s">
        <v>60</v>
      </c>
      <c r="AY81" s="10" t="s">
        <v>60</v>
      </c>
      <c r="AZ81" s="10" t="s">
        <v>60</v>
      </c>
      <c r="BA81" s="10"/>
    </row>
    <row r="82" spans="1:53">
      <c r="A82" s="10" t="s">
        <v>84</v>
      </c>
      <c r="B82" s="10" t="s">
        <v>94</v>
      </c>
      <c r="C82" s="10" t="s">
        <v>85</v>
      </c>
      <c r="D82" s="11" t="s">
        <v>288</v>
      </c>
      <c r="E82" s="11"/>
      <c r="F82" s="10"/>
      <c r="G82" s="5"/>
      <c r="H82" s="10"/>
      <c r="I82" s="10" t="s">
        <v>63</v>
      </c>
      <c r="J82" s="88"/>
      <c r="K82" s="10" t="s">
        <v>75</v>
      </c>
      <c r="L82" s="10" t="s">
        <v>65</v>
      </c>
      <c r="M82" s="10" t="s">
        <v>66</v>
      </c>
      <c r="N82" s="27">
        <v>818892531</v>
      </c>
      <c r="O82" s="18">
        <v>46295</v>
      </c>
      <c r="P82" s="16">
        <v>46325</v>
      </c>
      <c r="Q82" s="16"/>
      <c r="R82" s="11"/>
      <c r="S82" s="10"/>
      <c r="T82" s="10"/>
      <c r="U82" s="10"/>
      <c r="V82" s="10"/>
      <c r="W82" s="10"/>
      <c r="X82" s="52"/>
      <c r="Y82" s="49" t="s">
        <v>77</v>
      </c>
      <c r="Z82" s="15">
        <v>21</v>
      </c>
      <c r="AA82" s="15"/>
      <c r="AB82" s="15"/>
      <c r="AC82" s="15"/>
      <c r="AD82" s="15"/>
      <c r="AE82" s="15"/>
      <c r="AF82" s="15"/>
      <c r="AG82" s="15"/>
      <c r="AH82" s="15"/>
      <c r="AI82" s="10"/>
      <c r="AJ82" s="10"/>
      <c r="AK82" s="10"/>
      <c r="AL82" s="59"/>
      <c r="AM82" s="64"/>
      <c r="AN82" s="10"/>
      <c r="AO82" s="10"/>
      <c r="AP82" s="10" t="s">
        <v>60</v>
      </c>
      <c r="AQ82" s="10"/>
      <c r="AR82" s="10" t="s">
        <v>78</v>
      </c>
      <c r="AS82" s="18"/>
      <c r="AT82" s="18"/>
      <c r="AU82" s="10"/>
      <c r="AV82" s="10"/>
      <c r="AW82" s="10"/>
      <c r="AX82" s="10"/>
      <c r="AY82" s="10"/>
      <c r="AZ82" s="15" t="s">
        <v>185</v>
      </c>
      <c r="BA82" s="10"/>
    </row>
    <row r="83" spans="1:53" hidden="1">
      <c r="A83" s="10" t="s">
        <v>58</v>
      </c>
      <c r="B83" s="10" t="s">
        <v>59</v>
      </c>
      <c r="C83" s="10" t="s">
        <v>60</v>
      </c>
      <c r="D83" s="11" t="s">
        <v>289</v>
      </c>
      <c r="E83" s="11"/>
      <c r="F83" s="10"/>
      <c r="G83" s="5" t="e">
        <f>VLOOKUP(N83,#REF!,3,FALSE)</f>
        <v>#REF!</v>
      </c>
      <c r="H83" s="10"/>
      <c r="I83" s="10"/>
      <c r="J83" s="88"/>
      <c r="K83" s="10" t="s">
        <v>64</v>
      </c>
      <c r="L83" s="10" t="s">
        <v>65</v>
      </c>
      <c r="M83" s="10" t="s">
        <v>66</v>
      </c>
      <c r="N83" s="13">
        <v>820203172</v>
      </c>
      <c r="O83" s="18">
        <v>46112</v>
      </c>
      <c r="P83" s="16">
        <v>46142</v>
      </c>
      <c r="Q83" s="16"/>
      <c r="R83" s="17"/>
      <c r="S83" s="10"/>
      <c r="T83" s="10"/>
      <c r="U83" s="10"/>
      <c r="V83" s="10"/>
      <c r="W83" s="10"/>
      <c r="X83" s="52"/>
      <c r="Y83" s="49" t="s">
        <v>146</v>
      </c>
      <c r="Z83" s="15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58"/>
      <c r="AM83" s="63"/>
      <c r="AN83" s="10"/>
      <c r="AO83" s="10"/>
      <c r="AP83" s="10"/>
      <c r="AQ83" s="10"/>
      <c r="AR83" s="10"/>
      <c r="AS83" s="10"/>
      <c r="AT83" s="10"/>
      <c r="AU83" s="10"/>
      <c r="AV83" s="10"/>
      <c r="AW83" s="15"/>
      <c r="AX83" s="10"/>
      <c r="AY83" s="10"/>
      <c r="AZ83" s="10"/>
      <c r="BA83" s="10"/>
    </row>
    <row r="84" spans="1:53" hidden="1">
      <c r="A84" s="10" t="s">
        <v>58</v>
      </c>
      <c r="B84" s="10" t="s">
        <v>59</v>
      </c>
      <c r="C84" s="10" t="s">
        <v>60</v>
      </c>
      <c r="D84" s="11" t="s">
        <v>290</v>
      </c>
      <c r="E84" s="11"/>
      <c r="F84" s="10"/>
      <c r="G84" s="5" t="e">
        <f>VLOOKUP(N84,#REF!,3,FALSE)</f>
        <v>#REF!</v>
      </c>
      <c r="H84" s="10" t="s">
        <v>291</v>
      </c>
      <c r="I84" s="10"/>
      <c r="J84" s="88"/>
      <c r="K84" s="10" t="s">
        <v>64</v>
      </c>
      <c r="L84" s="10" t="s">
        <v>82</v>
      </c>
      <c r="M84" s="10" t="s">
        <v>66</v>
      </c>
      <c r="N84" s="13">
        <v>953777935</v>
      </c>
      <c r="O84" s="18">
        <v>46203</v>
      </c>
      <c r="P84" s="16">
        <v>46233</v>
      </c>
      <c r="Q84" s="16"/>
      <c r="R84" s="17"/>
      <c r="S84" s="10"/>
      <c r="T84" s="10"/>
      <c r="U84" s="10"/>
      <c r="V84" s="10"/>
      <c r="W84" s="10"/>
      <c r="X84" s="52"/>
      <c r="Y84" s="49" t="s">
        <v>146</v>
      </c>
      <c r="Z84" s="15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58"/>
      <c r="AM84" s="63"/>
      <c r="AN84" s="10"/>
      <c r="AO84" s="10"/>
      <c r="AP84" s="10"/>
      <c r="AQ84" s="10"/>
      <c r="AR84" s="10"/>
      <c r="AS84" s="10"/>
      <c r="AT84" s="10"/>
      <c r="AU84" s="10"/>
      <c r="AV84" s="10"/>
      <c r="AW84" s="15"/>
      <c r="AX84" s="10"/>
      <c r="AY84" s="10"/>
      <c r="AZ84" s="10"/>
      <c r="BA84" s="10"/>
    </row>
    <row r="85" spans="1:53">
      <c r="A85" s="10" t="s">
        <v>84</v>
      </c>
      <c r="B85" s="10" t="s">
        <v>94</v>
      </c>
      <c r="C85" s="10" t="s">
        <v>85</v>
      </c>
      <c r="D85" s="11" t="s">
        <v>292</v>
      </c>
      <c r="E85" s="11" t="s">
        <v>293</v>
      </c>
      <c r="F85" s="10"/>
      <c r="G85" s="5" t="e">
        <f>VLOOKUP(N85,#REF!,3,FALSE)</f>
        <v>#REF!</v>
      </c>
      <c r="H85" s="10"/>
      <c r="I85" s="10" t="s">
        <v>63</v>
      </c>
      <c r="J85" s="72" t="s">
        <v>294</v>
      </c>
      <c r="K85" s="10" t="s">
        <v>64</v>
      </c>
      <c r="L85" s="10" t="s">
        <v>120</v>
      </c>
      <c r="M85" s="10" t="s">
        <v>66</v>
      </c>
      <c r="N85" s="13">
        <v>318224672</v>
      </c>
      <c r="O85" s="18">
        <v>46022</v>
      </c>
      <c r="P85" s="16">
        <v>46083</v>
      </c>
      <c r="Q85" s="16"/>
      <c r="R85" s="18"/>
      <c r="S85" s="10"/>
      <c r="T85" s="10"/>
      <c r="U85" s="10"/>
      <c r="V85" s="10"/>
      <c r="W85" s="10"/>
      <c r="X85" s="52"/>
      <c r="Y85" s="49" t="s">
        <v>77</v>
      </c>
      <c r="Z85" s="15">
        <v>21</v>
      </c>
      <c r="AA85" s="10" t="s">
        <v>78</v>
      </c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58"/>
      <c r="AM85" s="63"/>
      <c r="AN85" s="10"/>
      <c r="AO85" s="10"/>
      <c r="AP85" s="10"/>
      <c r="AQ85" s="10"/>
      <c r="AR85" s="10" t="s">
        <v>78</v>
      </c>
      <c r="AS85" s="10"/>
      <c r="AT85" s="10"/>
      <c r="AU85" s="10"/>
      <c r="AV85" s="10"/>
      <c r="AW85" s="10"/>
      <c r="AX85" s="10"/>
      <c r="AY85" s="10"/>
      <c r="AZ85" s="10"/>
      <c r="BA85" s="10"/>
    </row>
    <row r="86" spans="1:53" hidden="1">
      <c r="A86" s="10" t="s">
        <v>84</v>
      </c>
      <c r="B86" s="10" t="s">
        <v>68</v>
      </c>
      <c r="C86" s="10" t="s">
        <v>59</v>
      </c>
      <c r="D86" s="11" t="s">
        <v>295</v>
      </c>
      <c r="E86" s="22" t="s">
        <v>296</v>
      </c>
      <c r="F86" s="10"/>
      <c r="G86" s="5" t="e">
        <f>VLOOKUP(N86,#REF!,3,FALSE)</f>
        <v>#REF!</v>
      </c>
      <c r="H86" s="10"/>
      <c r="I86" s="10" t="s">
        <v>74</v>
      </c>
      <c r="J86" s="88" t="s">
        <v>297</v>
      </c>
      <c r="K86" s="10" t="s">
        <v>75</v>
      </c>
      <c r="L86" s="15" t="s">
        <v>120</v>
      </c>
      <c r="M86" s="15" t="s">
        <v>66</v>
      </c>
      <c r="N86" s="27">
        <v>819185232</v>
      </c>
      <c r="O86" s="18">
        <v>46022</v>
      </c>
      <c r="P86" s="16">
        <v>46094</v>
      </c>
      <c r="Q86" s="16"/>
      <c r="R86" s="16"/>
      <c r="S86" s="10"/>
      <c r="T86" s="10"/>
      <c r="U86" s="10"/>
      <c r="V86" s="10"/>
      <c r="W86" s="10"/>
      <c r="X86" s="53"/>
      <c r="Y86" s="51" t="s">
        <v>77</v>
      </c>
      <c r="Z86" s="15">
        <v>21</v>
      </c>
      <c r="AA86" s="10" t="s">
        <v>112</v>
      </c>
      <c r="AB86" s="15"/>
      <c r="AC86" s="15"/>
      <c r="AD86" s="15"/>
      <c r="AE86" s="15"/>
      <c r="AF86" s="15"/>
      <c r="AG86" s="15"/>
      <c r="AH86" s="15"/>
      <c r="AI86" s="10"/>
      <c r="AJ86" s="10"/>
      <c r="AK86" s="10"/>
      <c r="AL86" s="58"/>
      <c r="AM86" s="63" t="s">
        <v>108</v>
      </c>
      <c r="AN86" s="10" t="s">
        <v>108</v>
      </c>
      <c r="AO86" s="10"/>
      <c r="AP86" s="10" t="s">
        <v>60</v>
      </c>
      <c r="AQ86" s="10"/>
      <c r="AR86" s="30"/>
      <c r="AS86" s="30"/>
      <c r="AT86" s="30"/>
      <c r="AU86" s="30"/>
      <c r="AV86" s="10"/>
      <c r="AW86" s="10"/>
      <c r="AX86" s="10"/>
      <c r="AY86" s="10"/>
      <c r="AZ86" s="10"/>
      <c r="BA86" s="10"/>
    </row>
    <row r="87" spans="1:53" hidden="1">
      <c r="A87" s="10" t="s">
        <v>58</v>
      </c>
      <c r="B87" s="10" t="s">
        <v>68</v>
      </c>
      <c r="C87" s="10" t="s">
        <v>95</v>
      </c>
      <c r="D87" s="11" t="s">
        <v>298</v>
      </c>
      <c r="E87" s="11"/>
      <c r="F87" s="10" t="s">
        <v>299</v>
      </c>
      <c r="G87" s="101" t="s">
        <v>300</v>
      </c>
      <c r="H87" s="10"/>
      <c r="I87" s="10" t="s">
        <v>74</v>
      </c>
      <c r="J87" s="87" t="s">
        <v>165</v>
      </c>
      <c r="K87" s="10" t="s">
        <v>75</v>
      </c>
      <c r="L87" s="10" t="s">
        <v>82</v>
      </c>
      <c r="M87" s="10" t="s">
        <v>66</v>
      </c>
      <c r="N87" s="42">
        <v>484965991</v>
      </c>
      <c r="O87" s="18">
        <v>46022</v>
      </c>
      <c r="P87" s="16">
        <v>46129</v>
      </c>
      <c r="Q87" s="16"/>
      <c r="R87" s="16"/>
      <c r="S87" s="10"/>
      <c r="T87" s="10"/>
      <c r="U87" s="10"/>
      <c r="V87" s="10"/>
      <c r="W87" s="10"/>
      <c r="X87" s="52"/>
      <c r="Y87" s="49" t="s">
        <v>77</v>
      </c>
      <c r="Z87" s="10">
        <v>21</v>
      </c>
      <c r="AA87" s="10" t="s">
        <v>112</v>
      </c>
      <c r="AB87" s="10"/>
      <c r="AC87" s="10"/>
      <c r="AD87" s="10"/>
      <c r="AE87" s="10"/>
      <c r="AF87" s="10"/>
      <c r="AG87" s="10"/>
      <c r="AH87" s="11"/>
      <c r="AI87" s="10"/>
      <c r="AJ87" s="10"/>
      <c r="AK87" s="10"/>
      <c r="AL87" s="58"/>
      <c r="AM87" s="63" t="s">
        <v>132</v>
      </c>
      <c r="AN87" s="10"/>
      <c r="AO87" s="10"/>
      <c r="AP87" s="10"/>
      <c r="AQ87" s="10" t="s">
        <v>60</v>
      </c>
      <c r="AR87" s="28"/>
      <c r="AS87" s="28"/>
      <c r="AT87" s="28"/>
      <c r="AU87" s="28"/>
      <c r="AV87" s="10"/>
      <c r="AW87" s="10"/>
      <c r="AX87" s="10"/>
      <c r="AY87" s="10"/>
      <c r="AZ87" s="10" t="s">
        <v>60</v>
      </c>
      <c r="BA87" s="10"/>
    </row>
    <row r="88" spans="1:53" ht="45">
      <c r="A88" s="10" t="s">
        <v>84</v>
      </c>
      <c r="B88" s="10" t="s">
        <v>94</v>
      </c>
      <c r="C88" s="10" t="s">
        <v>85</v>
      </c>
      <c r="D88" s="11" t="s">
        <v>301</v>
      </c>
      <c r="E88" s="11" t="s">
        <v>302</v>
      </c>
      <c r="F88" s="10"/>
      <c r="G88" s="5" t="e">
        <f>VLOOKUP(N88,#REF!,3,FALSE)</f>
        <v>#REF!</v>
      </c>
      <c r="H88" s="10"/>
      <c r="I88" s="10" t="s">
        <v>63</v>
      </c>
      <c r="J88" s="72" t="s">
        <v>303</v>
      </c>
      <c r="K88" s="10" t="s">
        <v>64</v>
      </c>
      <c r="L88" s="10" t="s">
        <v>120</v>
      </c>
      <c r="M88" s="10" t="s">
        <v>66</v>
      </c>
      <c r="N88" s="19">
        <v>901545285</v>
      </c>
      <c r="O88" s="18">
        <v>46234</v>
      </c>
      <c r="P88" s="16">
        <v>46264</v>
      </c>
      <c r="Q88" s="16"/>
      <c r="R88" s="11"/>
      <c r="S88" s="10"/>
      <c r="T88" s="10"/>
      <c r="U88" s="10"/>
      <c r="V88" s="10"/>
      <c r="W88" s="10"/>
      <c r="X88" s="52"/>
      <c r="Y88" s="49" t="s">
        <v>77</v>
      </c>
      <c r="Z88" s="15">
        <v>21</v>
      </c>
      <c r="AA88" s="10" t="s">
        <v>78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58"/>
      <c r="AM88" s="63"/>
      <c r="AN88" s="43"/>
      <c r="AO88" s="10"/>
      <c r="AP88" s="10"/>
      <c r="AQ88" s="10"/>
      <c r="AR88" s="10" t="s">
        <v>78</v>
      </c>
      <c r="AS88" s="10"/>
      <c r="AT88" s="10"/>
      <c r="AU88" s="10"/>
      <c r="AV88" s="15"/>
      <c r="AW88" s="10"/>
      <c r="AX88" s="10"/>
      <c r="AY88" s="10"/>
      <c r="AZ88" s="10"/>
      <c r="BA88" s="10"/>
    </row>
    <row r="89" spans="1:53" hidden="1">
      <c r="A89" s="10" t="s">
        <v>84</v>
      </c>
      <c r="B89" s="10" t="s">
        <v>60</v>
      </c>
      <c r="C89" s="10" t="s">
        <v>95</v>
      </c>
      <c r="D89" s="11" t="s">
        <v>304</v>
      </c>
      <c r="E89" s="11" t="s">
        <v>97</v>
      </c>
      <c r="F89" s="10"/>
      <c r="G89" s="5" t="e">
        <f>VLOOKUP(N89,#REF!,3,FALSE)</f>
        <v>#REF!</v>
      </c>
      <c r="H89" s="10"/>
      <c r="I89" s="10" t="s">
        <v>63</v>
      </c>
      <c r="J89" s="87"/>
      <c r="K89" s="10" t="s">
        <v>101</v>
      </c>
      <c r="L89" s="10" t="s">
        <v>305</v>
      </c>
      <c r="M89" s="10" t="s">
        <v>76</v>
      </c>
      <c r="N89" s="13"/>
      <c r="O89" s="18">
        <v>46022</v>
      </c>
      <c r="P89" s="16">
        <v>46113</v>
      </c>
      <c r="Q89" s="16"/>
      <c r="R89" s="18"/>
      <c r="S89" s="10"/>
      <c r="T89" s="10"/>
      <c r="U89" s="10"/>
      <c r="V89" s="10"/>
      <c r="W89" s="10"/>
      <c r="X89" s="52"/>
      <c r="Y89" s="49"/>
      <c r="Z89" s="15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58"/>
      <c r="AM89" s="63" t="s">
        <v>306</v>
      </c>
      <c r="AN89" s="10" t="s">
        <v>60</v>
      </c>
      <c r="AO89" s="10"/>
      <c r="AP89" s="10" t="s">
        <v>60</v>
      </c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</row>
    <row r="90" spans="1:53" hidden="1">
      <c r="A90" s="10" t="s">
        <v>58</v>
      </c>
      <c r="B90" s="10" t="s">
        <v>68</v>
      </c>
      <c r="C90" s="10" t="s">
        <v>60</v>
      </c>
      <c r="D90" s="11" t="s">
        <v>307</v>
      </c>
      <c r="E90" s="14"/>
      <c r="F90" s="10"/>
      <c r="G90" s="5" t="e">
        <f>VLOOKUP(N90,#REF!,3,FALSE)</f>
        <v>#REF!</v>
      </c>
      <c r="H90" s="10"/>
      <c r="I90" s="10" t="s">
        <v>63</v>
      </c>
      <c r="J90" s="87"/>
      <c r="K90" s="10" t="s">
        <v>212</v>
      </c>
      <c r="L90" s="10" t="s">
        <v>305</v>
      </c>
      <c r="M90" s="10" t="s">
        <v>76</v>
      </c>
      <c r="N90" s="19">
        <v>889975231</v>
      </c>
      <c r="O90" s="18">
        <v>46022</v>
      </c>
      <c r="P90" s="16">
        <v>46115</v>
      </c>
      <c r="Q90" s="16"/>
      <c r="R90" s="16"/>
      <c r="S90" s="10"/>
      <c r="T90" s="10"/>
      <c r="U90" s="10"/>
      <c r="V90" s="10"/>
      <c r="W90" s="10"/>
      <c r="X90" s="52"/>
      <c r="Y90" s="49" t="s">
        <v>146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58"/>
      <c r="AM90" s="63" t="s">
        <v>108</v>
      </c>
      <c r="AN90" s="10" t="s">
        <v>108</v>
      </c>
      <c r="AO90" s="10"/>
      <c r="AP90" s="10"/>
      <c r="AQ90" s="10" t="s">
        <v>60</v>
      </c>
      <c r="AR90" s="10"/>
      <c r="AS90" s="10"/>
      <c r="AT90" s="10"/>
      <c r="AU90" s="10"/>
      <c r="AV90" s="10"/>
      <c r="AW90" s="10"/>
      <c r="AX90" s="10" t="s">
        <v>60</v>
      </c>
      <c r="AY90" s="10" t="s">
        <v>60</v>
      </c>
      <c r="AZ90" s="10" t="s">
        <v>60</v>
      </c>
      <c r="BA90" s="10"/>
    </row>
    <row r="91" spans="1:53" hidden="1">
      <c r="A91" s="10" t="s">
        <v>84</v>
      </c>
      <c r="B91" s="10" t="s">
        <v>60</v>
      </c>
      <c r="C91" s="10" t="s">
        <v>95</v>
      </c>
      <c r="D91" s="11" t="s">
        <v>308</v>
      </c>
      <c r="E91" s="11" t="s">
        <v>97</v>
      </c>
      <c r="F91" s="10"/>
      <c r="G91" s="5" t="e">
        <f>VLOOKUP(N91,#REF!,3,FALSE)</f>
        <v>#REF!</v>
      </c>
      <c r="H91" s="10"/>
      <c r="I91" s="10" t="s">
        <v>63</v>
      </c>
      <c r="J91" s="87"/>
      <c r="K91" s="10" t="s">
        <v>101</v>
      </c>
      <c r="L91" s="10" t="s">
        <v>305</v>
      </c>
      <c r="M91" s="10" t="s">
        <v>76</v>
      </c>
      <c r="N91" s="13"/>
      <c r="O91" s="18">
        <v>46022</v>
      </c>
      <c r="P91" s="16">
        <v>46114</v>
      </c>
      <c r="Q91" s="16"/>
      <c r="R91" s="18"/>
      <c r="S91" s="10"/>
      <c r="T91" s="10"/>
      <c r="U91" s="10"/>
      <c r="V91" s="10"/>
      <c r="W91" s="10"/>
      <c r="X91" s="52"/>
      <c r="Y91" s="49"/>
      <c r="Z91" s="15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58"/>
      <c r="AM91" s="63" t="s">
        <v>309</v>
      </c>
      <c r="AN91" s="10" t="s">
        <v>60</v>
      </c>
      <c r="AO91" s="10"/>
      <c r="AP91" s="10" t="s">
        <v>60</v>
      </c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</row>
    <row r="92" spans="1:53" hidden="1">
      <c r="A92" s="10" t="s">
        <v>84</v>
      </c>
      <c r="B92" s="10" t="s">
        <v>94</v>
      </c>
      <c r="C92" s="10" t="s">
        <v>60</v>
      </c>
      <c r="D92" s="22" t="s">
        <v>310</v>
      </c>
      <c r="E92" s="11"/>
      <c r="F92" s="10"/>
      <c r="G92" s="5" t="e">
        <f>VLOOKUP(N92,#REF!,3,FALSE)</f>
        <v>#REF!</v>
      </c>
      <c r="H92" s="10" t="s">
        <v>169</v>
      </c>
      <c r="I92" s="10" t="s">
        <v>142</v>
      </c>
      <c r="J92" s="87"/>
      <c r="K92" s="10"/>
      <c r="L92" s="10"/>
      <c r="M92" s="10"/>
      <c r="N92" s="13"/>
      <c r="O92" s="18"/>
      <c r="P92" s="16"/>
      <c r="Q92" s="16"/>
      <c r="R92" s="22"/>
      <c r="S92" s="10"/>
      <c r="T92" s="10"/>
      <c r="U92" s="10"/>
      <c r="V92" s="10"/>
      <c r="W92" s="10"/>
      <c r="X92" s="52"/>
      <c r="Y92" s="49"/>
      <c r="Z92" s="15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58"/>
      <c r="AM92" s="63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</row>
    <row r="93" spans="1:53" hidden="1">
      <c r="A93" s="10" t="s">
        <v>58</v>
      </c>
      <c r="B93" s="10" t="s">
        <v>59</v>
      </c>
      <c r="C93" s="10" t="s">
        <v>60</v>
      </c>
      <c r="D93" s="11" t="s">
        <v>311</v>
      </c>
      <c r="E93" s="11"/>
      <c r="F93" s="11"/>
      <c r="G93" s="5"/>
      <c r="H93" s="11"/>
      <c r="I93" s="10"/>
      <c r="J93" s="87"/>
      <c r="K93" s="10" t="s">
        <v>64</v>
      </c>
      <c r="L93" s="10" t="s">
        <v>65</v>
      </c>
      <c r="M93" s="10" t="s">
        <v>76</v>
      </c>
      <c r="N93" s="13">
        <v>890060551</v>
      </c>
      <c r="O93" s="18">
        <v>46022</v>
      </c>
      <c r="P93" s="16">
        <v>46081</v>
      </c>
      <c r="Q93" s="16"/>
      <c r="R93" s="21"/>
      <c r="S93" s="10"/>
      <c r="T93" s="10"/>
      <c r="U93" s="10"/>
      <c r="V93" s="10"/>
      <c r="W93" s="10"/>
      <c r="X93" s="52"/>
      <c r="Y93" s="49" t="s">
        <v>77</v>
      </c>
      <c r="Z93" s="15">
        <v>24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58"/>
      <c r="AM93" s="63"/>
      <c r="AN93" s="18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 spans="1:53" hidden="1">
      <c r="A94" s="10" t="s">
        <v>58</v>
      </c>
      <c r="B94" s="10" t="s">
        <v>59</v>
      </c>
      <c r="C94" s="10" t="s">
        <v>60</v>
      </c>
      <c r="D94" s="11" t="s">
        <v>312</v>
      </c>
      <c r="E94" s="11"/>
      <c r="F94" s="10"/>
      <c r="G94" s="5" t="e">
        <f>VLOOKUP(D94,#REF!,7,FALSE)</f>
        <v>#REF!</v>
      </c>
      <c r="H94" s="10"/>
      <c r="I94" s="10"/>
      <c r="J94" s="88"/>
      <c r="K94" s="10" t="s">
        <v>64</v>
      </c>
      <c r="L94" s="10" t="s">
        <v>161</v>
      </c>
      <c r="M94" s="10" t="s">
        <v>76</v>
      </c>
      <c r="N94" s="13">
        <v>519728380</v>
      </c>
      <c r="O94" s="18">
        <v>46022</v>
      </c>
      <c r="P94" s="16">
        <v>46142</v>
      </c>
      <c r="Q94" s="16"/>
      <c r="R94" s="21"/>
      <c r="S94" s="10"/>
      <c r="T94" s="10"/>
      <c r="U94" s="10"/>
      <c r="V94" s="10"/>
      <c r="W94" s="10"/>
      <c r="X94" s="52"/>
      <c r="Y94" s="49" t="s">
        <v>71</v>
      </c>
      <c r="Z94" s="15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58"/>
      <c r="AM94" s="63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 spans="1:53" hidden="1">
      <c r="A95" s="10" t="s">
        <v>58</v>
      </c>
      <c r="B95" s="10" t="s">
        <v>95</v>
      </c>
      <c r="C95" s="10" t="s">
        <v>95</v>
      </c>
      <c r="D95" s="11" t="s">
        <v>313</v>
      </c>
      <c r="E95" s="11"/>
      <c r="F95" s="10" t="s">
        <v>177</v>
      </c>
      <c r="G95" s="101" t="s">
        <v>178</v>
      </c>
      <c r="H95" s="10"/>
      <c r="I95" s="10" t="s">
        <v>63</v>
      </c>
      <c r="J95" s="88" t="s">
        <v>314</v>
      </c>
      <c r="K95" s="10" t="s">
        <v>75</v>
      </c>
      <c r="L95" s="10" t="s">
        <v>82</v>
      </c>
      <c r="M95" s="10" t="s">
        <v>66</v>
      </c>
      <c r="N95" s="13">
        <v>503053308</v>
      </c>
      <c r="O95" s="18">
        <v>46022</v>
      </c>
      <c r="P95" s="16">
        <v>46086</v>
      </c>
      <c r="Q95" s="16"/>
      <c r="R95" s="18"/>
      <c r="S95" s="10"/>
      <c r="T95" s="10"/>
      <c r="U95" s="10"/>
      <c r="V95" s="10"/>
      <c r="W95" s="10"/>
      <c r="X95" s="52"/>
      <c r="Y95" s="49" t="s">
        <v>77</v>
      </c>
      <c r="Z95" s="15">
        <v>21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59"/>
      <c r="AM95" s="64">
        <v>0</v>
      </c>
      <c r="AN95" s="10"/>
      <c r="AO95" s="10"/>
      <c r="AP95" s="10"/>
      <c r="AQ95" s="10" t="s">
        <v>60</v>
      </c>
      <c r="AR95" s="28"/>
      <c r="AS95" s="28"/>
      <c r="AT95" s="28"/>
      <c r="AU95" s="28"/>
      <c r="AV95" s="10"/>
      <c r="AW95" s="10"/>
      <c r="AX95" s="10"/>
      <c r="AY95" s="10"/>
      <c r="AZ95" s="10" t="s">
        <v>60</v>
      </c>
      <c r="BA95" s="10"/>
    </row>
    <row r="96" spans="1:53" hidden="1">
      <c r="A96" s="10" t="s">
        <v>58</v>
      </c>
      <c r="B96" s="10" t="s">
        <v>59</v>
      </c>
      <c r="C96" s="10" t="s">
        <v>60</v>
      </c>
      <c r="D96" s="11" t="s">
        <v>315</v>
      </c>
      <c r="E96" s="11"/>
      <c r="F96" s="10"/>
      <c r="G96" s="5" t="e">
        <f>VLOOKUP(N96,#REF!,3,FALSE)</f>
        <v>#REF!</v>
      </c>
      <c r="H96" s="10"/>
      <c r="I96" s="10"/>
      <c r="J96" s="88"/>
      <c r="K96" s="10" t="s">
        <v>64</v>
      </c>
      <c r="L96" s="10" t="s">
        <v>102</v>
      </c>
      <c r="M96" s="10" t="s">
        <v>66</v>
      </c>
      <c r="N96" s="13">
        <v>522657915</v>
      </c>
      <c r="O96" s="18">
        <v>46022</v>
      </c>
      <c r="P96" s="16"/>
      <c r="Q96" s="16"/>
      <c r="R96" s="24"/>
      <c r="S96" s="10"/>
      <c r="T96" s="10"/>
      <c r="U96" s="10"/>
      <c r="V96" s="10"/>
      <c r="W96" s="10"/>
      <c r="X96" s="52"/>
      <c r="Y96" s="49" t="s">
        <v>146</v>
      </c>
      <c r="Z96" s="15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58"/>
      <c r="AM96" s="63" t="s">
        <v>316</v>
      </c>
      <c r="AN96" s="10"/>
      <c r="AO96" s="10"/>
      <c r="AP96" s="10"/>
      <c r="AQ96" s="10"/>
      <c r="AR96" s="10"/>
      <c r="AS96" s="10"/>
      <c r="AT96" s="10"/>
      <c r="AU96" s="10"/>
      <c r="AV96" s="10"/>
      <c r="AW96" s="15"/>
      <c r="AX96" s="10"/>
      <c r="AY96" s="10"/>
      <c r="AZ96" s="10"/>
      <c r="BA96" s="10"/>
    </row>
    <row r="97" spans="1:53" hidden="1">
      <c r="A97" s="10" t="s">
        <v>58</v>
      </c>
      <c r="B97" s="10" t="s">
        <v>68</v>
      </c>
      <c r="C97" s="10" t="s">
        <v>59</v>
      </c>
      <c r="D97" s="11" t="s">
        <v>317</v>
      </c>
      <c r="E97" s="11"/>
      <c r="F97" s="11"/>
      <c r="G97" s="5"/>
      <c r="H97" s="11" t="s">
        <v>318</v>
      </c>
      <c r="I97" s="10" t="s">
        <v>74</v>
      </c>
      <c r="J97" s="89"/>
      <c r="K97" s="10" t="s">
        <v>75</v>
      </c>
      <c r="L97" s="10" t="s">
        <v>65</v>
      </c>
      <c r="M97" s="10" t="s">
        <v>66</v>
      </c>
      <c r="N97" s="13">
        <v>829273127</v>
      </c>
      <c r="O97" s="18">
        <v>46022</v>
      </c>
      <c r="P97" s="16">
        <v>46138</v>
      </c>
      <c r="Q97" s="16"/>
      <c r="R97" s="16"/>
      <c r="S97" s="10"/>
      <c r="T97" s="10"/>
      <c r="U97" s="10"/>
      <c r="V97" s="10"/>
      <c r="W97" s="10"/>
      <c r="X97" s="52"/>
      <c r="Y97" s="49" t="s">
        <v>77</v>
      </c>
      <c r="Z97" s="15">
        <v>24</v>
      </c>
      <c r="AA97" s="10" t="s">
        <v>112</v>
      </c>
      <c r="AB97" s="10"/>
      <c r="AC97" s="15"/>
      <c r="AD97" s="15"/>
      <c r="AE97" s="15"/>
      <c r="AF97" s="15"/>
      <c r="AG97" s="15"/>
      <c r="AH97" s="15"/>
      <c r="AI97" s="15"/>
      <c r="AJ97" s="15"/>
      <c r="AK97" s="10"/>
      <c r="AL97" s="58"/>
      <c r="AM97" s="64"/>
      <c r="AN97" s="10" t="s">
        <v>79</v>
      </c>
      <c r="AO97" s="10"/>
      <c r="AP97" s="10" t="s">
        <v>60</v>
      </c>
      <c r="AQ97" s="10" t="s">
        <v>60</v>
      </c>
      <c r="AR97" s="10"/>
      <c r="AS97" s="10"/>
      <c r="AT97" s="11"/>
      <c r="AU97" s="11"/>
      <c r="AV97" s="10"/>
      <c r="AW97" s="10"/>
      <c r="AX97" s="10"/>
      <c r="AY97" s="10"/>
      <c r="AZ97" s="10" t="s">
        <v>60</v>
      </c>
      <c r="BA97" s="10"/>
    </row>
    <row r="98" spans="1:53">
      <c r="A98" s="15" t="s">
        <v>84</v>
      </c>
      <c r="B98" s="10"/>
      <c r="C98" s="10" t="s">
        <v>85</v>
      </c>
      <c r="D98" s="11" t="s">
        <v>319</v>
      </c>
      <c r="E98" s="11" t="s">
        <v>320</v>
      </c>
      <c r="F98" s="10"/>
      <c r="G98" s="5" t="e">
        <f>VLOOKUP(N98,#REF!,3,FALSE)</f>
        <v>#REF!</v>
      </c>
      <c r="H98" s="10"/>
      <c r="I98" s="10" t="s">
        <v>142</v>
      </c>
      <c r="J98" s="87"/>
      <c r="K98" s="10" t="s">
        <v>101</v>
      </c>
      <c r="L98" s="10" t="s">
        <v>321</v>
      </c>
      <c r="M98" s="10" t="s">
        <v>76</v>
      </c>
      <c r="N98" s="13">
        <v>397622648</v>
      </c>
      <c r="O98" s="18">
        <v>46022</v>
      </c>
      <c r="P98" s="16"/>
      <c r="Q98" s="16"/>
      <c r="R98" s="10"/>
      <c r="S98" s="10"/>
      <c r="T98" s="10"/>
      <c r="U98" s="10"/>
      <c r="V98" s="10"/>
      <c r="W98" s="10"/>
      <c r="X98" s="52"/>
      <c r="Y98" s="49" t="s">
        <v>67</v>
      </c>
      <c r="Z98" s="15">
        <v>21</v>
      </c>
      <c r="AA98" s="95" t="s">
        <v>175</v>
      </c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58"/>
      <c r="AM98" s="63"/>
      <c r="AN98" s="10"/>
      <c r="AO98" s="10"/>
      <c r="AP98" s="10"/>
      <c r="AQ98" s="10"/>
      <c r="AR98" s="95" t="s">
        <v>175</v>
      </c>
      <c r="AS98" s="10"/>
      <c r="AT98" s="10"/>
      <c r="AU98" s="10"/>
      <c r="AV98" s="10"/>
      <c r="AW98" s="10"/>
      <c r="AX98" s="10"/>
      <c r="AY98" s="10"/>
      <c r="AZ98" s="10"/>
      <c r="BA98" s="10"/>
    </row>
    <row r="99" spans="1:53" hidden="1">
      <c r="A99" s="10" t="s">
        <v>58</v>
      </c>
      <c r="B99" s="10" t="s">
        <v>59</v>
      </c>
      <c r="C99" s="10" t="s">
        <v>60</v>
      </c>
      <c r="D99" s="11" t="s">
        <v>322</v>
      </c>
      <c r="E99" s="11"/>
      <c r="F99" s="10"/>
      <c r="G99" s="5" t="e">
        <f>VLOOKUP(N99,#REF!,3,FALSE)</f>
        <v>#REF!</v>
      </c>
      <c r="H99" s="10"/>
      <c r="I99" s="10"/>
      <c r="J99" s="88"/>
      <c r="K99" s="10" t="s">
        <v>64</v>
      </c>
      <c r="L99" s="10" t="s">
        <v>65</v>
      </c>
      <c r="M99" s="10" t="s">
        <v>66</v>
      </c>
      <c r="N99" s="13">
        <v>850243726</v>
      </c>
      <c r="O99" s="18">
        <v>46112</v>
      </c>
      <c r="P99" s="16">
        <v>46142</v>
      </c>
      <c r="Q99" s="16"/>
      <c r="R99" s="17"/>
      <c r="S99" s="10"/>
      <c r="T99" s="10"/>
      <c r="U99" s="10"/>
      <c r="V99" s="10"/>
      <c r="W99" s="10"/>
      <c r="X99" s="52"/>
      <c r="Y99" s="49" t="s">
        <v>146</v>
      </c>
      <c r="Z99" s="15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58"/>
      <c r="AM99" s="63"/>
      <c r="AN99" s="18"/>
      <c r="AO99" s="10"/>
      <c r="AP99" s="10"/>
      <c r="AQ99" s="10"/>
      <c r="AR99" s="10"/>
      <c r="AS99" s="10"/>
      <c r="AT99" s="10"/>
      <c r="AU99" s="10"/>
      <c r="AV99" s="10"/>
      <c r="AW99" s="15"/>
      <c r="AX99" s="10"/>
      <c r="AY99" s="10"/>
      <c r="AZ99" s="10"/>
      <c r="BA99" s="10"/>
    </row>
    <row r="100" spans="1:53" hidden="1">
      <c r="A100" s="10" t="s">
        <v>58</v>
      </c>
      <c r="B100" s="10" t="s">
        <v>95</v>
      </c>
      <c r="C100" s="10" t="s">
        <v>95</v>
      </c>
      <c r="D100" s="11" t="s">
        <v>323</v>
      </c>
      <c r="E100" s="11"/>
      <c r="F100" s="11" t="s">
        <v>324</v>
      </c>
      <c r="G100" s="101" t="s">
        <v>325</v>
      </c>
      <c r="H100" s="11"/>
      <c r="I100" s="10" t="s">
        <v>63</v>
      </c>
      <c r="J100" s="87"/>
      <c r="K100" s="10" t="s">
        <v>75</v>
      </c>
      <c r="L100" s="10" t="s">
        <v>65</v>
      </c>
      <c r="M100" s="10" t="s">
        <v>66</v>
      </c>
      <c r="N100" s="13">
        <v>852793801</v>
      </c>
      <c r="O100" s="18">
        <v>46022</v>
      </c>
      <c r="P100" s="16">
        <v>46097</v>
      </c>
      <c r="Q100" s="16"/>
      <c r="R100" s="18"/>
      <c r="S100" s="10"/>
      <c r="T100" s="10"/>
      <c r="U100" s="10"/>
      <c r="V100" s="10"/>
      <c r="W100" s="10"/>
      <c r="X100" s="52"/>
      <c r="Y100" s="49" t="s">
        <v>77</v>
      </c>
      <c r="Z100" s="15">
        <v>24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59"/>
      <c r="AM100" s="64" t="s">
        <v>132</v>
      </c>
      <c r="AN100" s="10"/>
      <c r="AO100" s="10"/>
      <c r="AP100" s="10" t="s">
        <v>60</v>
      </c>
      <c r="AQ100" s="10" t="s">
        <v>60</v>
      </c>
      <c r="AR100" s="28"/>
      <c r="AS100" s="28"/>
      <c r="AT100" s="28"/>
      <c r="AU100" s="28"/>
      <c r="AV100" s="10"/>
      <c r="AW100" s="10"/>
      <c r="AX100" s="10"/>
      <c r="AY100" s="10"/>
      <c r="AZ100" s="10" t="s">
        <v>60</v>
      </c>
      <c r="BA100" s="10"/>
    </row>
    <row r="101" spans="1:53" ht="24" hidden="1">
      <c r="A101" s="10" t="s">
        <v>58</v>
      </c>
      <c r="B101" s="10" t="s">
        <v>68</v>
      </c>
      <c r="C101" s="10" t="s">
        <v>59</v>
      </c>
      <c r="D101" s="11" t="s">
        <v>326</v>
      </c>
      <c r="E101" s="11"/>
      <c r="F101" s="11"/>
      <c r="G101" s="5"/>
      <c r="H101" s="11"/>
      <c r="I101" s="10"/>
      <c r="J101" s="88" t="s">
        <v>327</v>
      </c>
      <c r="K101" s="10" t="s">
        <v>64</v>
      </c>
      <c r="L101" s="10" t="s">
        <v>65</v>
      </c>
      <c r="M101" s="10" t="s">
        <v>66</v>
      </c>
      <c r="N101" s="13">
        <v>834285850</v>
      </c>
      <c r="O101" s="18">
        <v>46203</v>
      </c>
      <c r="P101" s="16">
        <v>46233</v>
      </c>
      <c r="Q101" s="16"/>
      <c r="R101" s="17"/>
      <c r="S101" s="10"/>
      <c r="T101" s="10"/>
      <c r="U101" s="10"/>
      <c r="V101" s="10"/>
      <c r="W101" s="10"/>
      <c r="X101" s="52"/>
      <c r="Y101" s="49" t="s">
        <v>77</v>
      </c>
      <c r="Z101" s="15">
        <v>24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58"/>
      <c r="AM101" s="63"/>
      <c r="AN101" s="10"/>
      <c r="AO101" s="10"/>
      <c r="AP101" s="10"/>
      <c r="AQ101" s="10"/>
      <c r="AR101" s="26"/>
      <c r="AS101" s="26"/>
      <c r="AT101" s="26"/>
      <c r="AU101" s="26"/>
      <c r="AV101" s="10"/>
      <c r="AW101" s="10"/>
      <c r="AX101" s="10"/>
      <c r="AY101" s="10"/>
      <c r="AZ101" s="10"/>
      <c r="BA101" s="10"/>
    </row>
    <row r="102" spans="1:53" ht="24" hidden="1">
      <c r="A102" s="10" t="s">
        <v>58</v>
      </c>
      <c r="B102" s="10" t="s">
        <v>59</v>
      </c>
      <c r="C102" s="10" t="s">
        <v>60</v>
      </c>
      <c r="D102" s="11" t="s">
        <v>328</v>
      </c>
      <c r="E102" s="11"/>
      <c r="F102" s="10"/>
      <c r="G102" s="5" t="e">
        <f>VLOOKUP(N102,#REF!,3,FALSE)</f>
        <v>#REF!</v>
      </c>
      <c r="H102" s="10" t="s">
        <v>329</v>
      </c>
      <c r="I102" s="10"/>
      <c r="J102" s="88" t="s">
        <v>330</v>
      </c>
      <c r="K102" s="10" t="s">
        <v>64</v>
      </c>
      <c r="L102" s="10" t="s">
        <v>82</v>
      </c>
      <c r="M102" s="10" t="s">
        <v>66</v>
      </c>
      <c r="N102" s="13">
        <v>839542602</v>
      </c>
      <c r="O102" s="18">
        <v>46022</v>
      </c>
      <c r="P102" s="16">
        <v>46112</v>
      </c>
      <c r="Q102" s="16"/>
      <c r="R102" s="21"/>
      <c r="S102" s="10"/>
      <c r="T102" s="10"/>
      <c r="U102" s="10"/>
      <c r="V102" s="10"/>
      <c r="W102" s="10"/>
      <c r="X102" s="52"/>
      <c r="Y102" s="49" t="s">
        <v>77</v>
      </c>
      <c r="Z102" s="15">
        <v>21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58"/>
      <c r="AM102" s="63"/>
      <c r="AN102" s="10"/>
      <c r="AO102" s="10"/>
      <c r="AP102" s="10"/>
      <c r="AQ102" s="10"/>
      <c r="AR102" s="10"/>
      <c r="AS102" s="10"/>
      <c r="AT102" s="10"/>
      <c r="AU102" s="10"/>
      <c r="AV102" s="10"/>
      <c r="AW102" s="15"/>
      <c r="AX102" s="10"/>
      <c r="AY102" s="10"/>
      <c r="AZ102" s="10"/>
      <c r="BA102" s="10"/>
    </row>
    <row r="103" spans="1:53" hidden="1">
      <c r="A103" s="10" t="s">
        <v>58</v>
      </c>
      <c r="B103" s="10" t="s">
        <v>68</v>
      </c>
      <c r="C103" s="10" t="s">
        <v>60</v>
      </c>
      <c r="D103" s="11" t="s">
        <v>331</v>
      </c>
      <c r="E103" s="11"/>
      <c r="F103" s="11"/>
      <c r="G103" s="5"/>
      <c r="H103" s="11"/>
      <c r="I103" s="10" t="s">
        <v>74</v>
      </c>
      <c r="J103" s="87"/>
      <c r="K103" s="10" t="s">
        <v>75</v>
      </c>
      <c r="L103" s="10" t="s">
        <v>65</v>
      </c>
      <c r="M103" s="10" t="s">
        <v>66</v>
      </c>
      <c r="N103" s="13">
        <v>453064560</v>
      </c>
      <c r="O103" s="18">
        <v>46022</v>
      </c>
      <c r="P103" s="16">
        <v>46122</v>
      </c>
      <c r="Q103" s="16"/>
      <c r="R103" s="16"/>
      <c r="S103" s="10"/>
      <c r="T103" s="10"/>
      <c r="U103" s="10"/>
      <c r="V103" s="10"/>
      <c r="W103" s="10"/>
      <c r="X103" s="52"/>
      <c r="Y103" s="49" t="s">
        <v>77</v>
      </c>
      <c r="Z103" s="10">
        <v>24</v>
      </c>
      <c r="AA103" s="10" t="s">
        <v>112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58"/>
      <c r="AM103" s="63" t="s">
        <v>132</v>
      </c>
      <c r="AN103" s="10" t="s">
        <v>79</v>
      </c>
      <c r="AO103" s="10"/>
      <c r="AP103" s="10" t="s">
        <v>60</v>
      </c>
      <c r="AQ103" s="10" t="s">
        <v>60</v>
      </c>
      <c r="AR103" s="10"/>
      <c r="AS103" s="10"/>
      <c r="AT103" s="10"/>
      <c r="AU103" s="10"/>
      <c r="AV103" s="10"/>
      <c r="AW103" s="10"/>
      <c r="AX103" s="10" t="s">
        <v>60</v>
      </c>
      <c r="AY103" s="10" t="s">
        <v>60</v>
      </c>
      <c r="AZ103" s="10" t="s">
        <v>78</v>
      </c>
      <c r="BA103" s="10"/>
    </row>
    <row r="104" spans="1:53" hidden="1">
      <c r="A104" s="10" t="s">
        <v>58</v>
      </c>
      <c r="B104" s="10" t="s">
        <v>59</v>
      </c>
      <c r="C104" s="10" t="s">
        <v>60</v>
      </c>
      <c r="D104" s="11" t="s">
        <v>332</v>
      </c>
      <c r="E104" s="11"/>
      <c r="F104" s="10"/>
      <c r="G104" s="5" t="e">
        <f>VLOOKUP(N104,#REF!,3,FALSE)</f>
        <v>#REF!</v>
      </c>
      <c r="H104" s="10"/>
      <c r="I104" s="10"/>
      <c r="J104" s="88"/>
      <c r="K104" s="10" t="s">
        <v>64</v>
      </c>
      <c r="L104" s="10" t="s">
        <v>161</v>
      </c>
      <c r="M104" s="10" t="s">
        <v>76</v>
      </c>
      <c r="N104" s="13">
        <v>510460702</v>
      </c>
      <c r="O104" s="18">
        <v>46022</v>
      </c>
      <c r="P104" s="16">
        <v>46066</v>
      </c>
      <c r="Q104" s="16"/>
      <c r="R104" s="21"/>
      <c r="S104" s="10"/>
      <c r="T104" s="10"/>
      <c r="U104" s="10"/>
      <c r="V104" s="10"/>
      <c r="W104" s="10"/>
      <c r="X104" s="52"/>
      <c r="Y104" s="49" t="s">
        <v>77</v>
      </c>
      <c r="Z104" s="15">
        <v>19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58"/>
      <c r="AM104" s="63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 spans="1:53" hidden="1">
      <c r="A105" s="10" t="s">
        <v>58</v>
      </c>
      <c r="B105" s="10" t="s">
        <v>59</v>
      </c>
      <c r="C105" s="10" t="s">
        <v>60</v>
      </c>
      <c r="D105" s="11" t="s">
        <v>333</v>
      </c>
      <c r="E105" s="11"/>
      <c r="F105" s="11"/>
      <c r="G105" s="5"/>
      <c r="H105" s="11"/>
      <c r="I105" s="10"/>
      <c r="J105" s="87"/>
      <c r="K105" s="10" t="s">
        <v>64</v>
      </c>
      <c r="L105" s="10" t="s">
        <v>65</v>
      </c>
      <c r="M105" s="10" t="s">
        <v>76</v>
      </c>
      <c r="N105" s="13">
        <v>893858217</v>
      </c>
      <c r="O105" s="18">
        <v>46022</v>
      </c>
      <c r="P105" s="16">
        <v>46112</v>
      </c>
      <c r="Q105" s="16"/>
      <c r="R105" s="18"/>
      <c r="S105" s="10"/>
      <c r="T105" s="10"/>
      <c r="U105" s="10"/>
      <c r="V105" s="10"/>
      <c r="W105" s="10"/>
      <c r="X105" s="52"/>
      <c r="Y105" s="49" t="s">
        <v>77</v>
      </c>
      <c r="Z105" s="15">
        <v>24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58"/>
      <c r="AM105" s="63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 spans="1:53" hidden="1">
      <c r="A106" s="10" t="s">
        <v>58</v>
      </c>
      <c r="B106" s="10" t="s">
        <v>68</v>
      </c>
      <c r="C106" s="10" t="s">
        <v>95</v>
      </c>
      <c r="D106" s="11" t="s">
        <v>334</v>
      </c>
      <c r="E106" s="11"/>
      <c r="F106" s="10" t="s">
        <v>335</v>
      </c>
      <c r="G106" s="101" t="s">
        <v>336</v>
      </c>
      <c r="H106" s="10"/>
      <c r="I106" s="10" t="s">
        <v>74</v>
      </c>
      <c r="J106" s="87"/>
      <c r="K106" s="10" t="s">
        <v>75</v>
      </c>
      <c r="L106" s="10" t="s">
        <v>187</v>
      </c>
      <c r="M106" s="10" t="s">
        <v>66</v>
      </c>
      <c r="N106" s="13">
        <v>845229996</v>
      </c>
      <c r="O106" s="18">
        <v>46295</v>
      </c>
      <c r="P106" s="16">
        <v>46325</v>
      </c>
      <c r="Q106" s="16"/>
      <c r="R106" s="16"/>
      <c r="S106" s="18"/>
      <c r="T106" s="18"/>
      <c r="U106" s="18"/>
      <c r="V106" s="18"/>
      <c r="W106" s="18"/>
      <c r="X106" s="54"/>
      <c r="Y106" s="49" t="s">
        <v>71</v>
      </c>
      <c r="Z106" s="15"/>
      <c r="AA106" s="92"/>
      <c r="AB106" s="92"/>
      <c r="AC106" s="10"/>
      <c r="AD106" s="92"/>
      <c r="AE106" s="92"/>
      <c r="AF106" s="92"/>
      <c r="AG106" s="92"/>
      <c r="AH106" s="92"/>
      <c r="AI106" s="92"/>
      <c r="AJ106" s="10"/>
      <c r="AK106" s="92"/>
      <c r="AL106" s="93"/>
      <c r="AM106" s="63" t="s">
        <v>132</v>
      </c>
      <c r="AN106" s="10"/>
      <c r="AO106" s="10"/>
      <c r="AP106" s="10"/>
      <c r="AQ106" s="10" t="s">
        <v>60</v>
      </c>
      <c r="AR106" s="10"/>
      <c r="AS106" s="5"/>
      <c r="AT106" s="5"/>
      <c r="AU106" s="10"/>
      <c r="AV106" s="10"/>
      <c r="AW106" s="10"/>
      <c r="AX106" s="10"/>
      <c r="AY106" s="10"/>
      <c r="AZ106" s="10" t="s">
        <v>60</v>
      </c>
      <c r="BA106" s="10"/>
    </row>
    <row r="107" spans="1:53" s="7" customFormat="1" hidden="1">
      <c r="A107" s="10" t="s">
        <v>58</v>
      </c>
      <c r="B107" s="10" t="s">
        <v>59</v>
      </c>
      <c r="C107" s="10" t="s">
        <v>60</v>
      </c>
      <c r="D107" s="11" t="s">
        <v>337</v>
      </c>
      <c r="E107" s="11"/>
      <c r="F107" s="10"/>
      <c r="G107" s="5" t="e">
        <f>VLOOKUP(N107,#REF!,3,FALSE)</f>
        <v>#REF!</v>
      </c>
      <c r="H107" s="10" t="s">
        <v>338</v>
      </c>
      <c r="I107" s="10"/>
      <c r="J107" s="88"/>
      <c r="K107" s="10" t="s">
        <v>64</v>
      </c>
      <c r="L107" s="10" t="s">
        <v>102</v>
      </c>
      <c r="M107" s="10" t="s">
        <v>66</v>
      </c>
      <c r="N107" s="13">
        <v>904769825</v>
      </c>
      <c r="O107" s="18">
        <v>46022</v>
      </c>
      <c r="P107" s="16">
        <v>46059</v>
      </c>
      <c r="Q107" s="16"/>
      <c r="R107" s="21"/>
      <c r="S107" s="10"/>
      <c r="T107" s="10"/>
      <c r="U107" s="10"/>
      <c r="V107" s="10"/>
      <c r="W107" s="10"/>
      <c r="X107" s="52"/>
      <c r="Y107" s="49" t="s">
        <v>77</v>
      </c>
      <c r="Z107" s="15">
        <v>21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58"/>
      <c r="AM107" s="63"/>
      <c r="AN107" s="10"/>
      <c r="AO107" s="10"/>
      <c r="AP107" s="10"/>
      <c r="AQ107" s="10"/>
      <c r="AR107" s="10"/>
      <c r="AS107" s="10"/>
      <c r="AT107" s="10"/>
      <c r="AU107" s="10"/>
      <c r="AV107" s="10"/>
      <c r="AW107" s="15"/>
      <c r="AX107" s="10"/>
      <c r="AY107" s="10"/>
      <c r="AZ107" s="10"/>
      <c r="BA107" s="10"/>
    </row>
    <row r="108" spans="1:53" hidden="1">
      <c r="A108" s="10" t="s">
        <v>58</v>
      </c>
      <c r="B108" s="10" t="s">
        <v>59</v>
      </c>
      <c r="C108" s="10" t="s">
        <v>60</v>
      </c>
      <c r="D108" s="11" t="s">
        <v>339</v>
      </c>
      <c r="E108" s="11"/>
      <c r="F108" s="10"/>
      <c r="G108" s="5" t="e">
        <f>VLOOKUP(N108,#REF!,3,FALSE)</f>
        <v>#REF!</v>
      </c>
      <c r="H108" s="10"/>
      <c r="I108" s="10"/>
      <c r="J108" s="88"/>
      <c r="K108" s="10" t="s">
        <v>64</v>
      </c>
      <c r="L108" s="10" t="s">
        <v>102</v>
      </c>
      <c r="M108" s="10" t="s">
        <v>66</v>
      </c>
      <c r="N108" s="13">
        <v>891032732</v>
      </c>
      <c r="O108" s="18">
        <v>46295</v>
      </c>
      <c r="P108" s="16">
        <v>46325</v>
      </c>
      <c r="Q108" s="16"/>
      <c r="R108" s="17"/>
      <c r="S108" s="10"/>
      <c r="T108" s="10"/>
      <c r="U108" s="10"/>
      <c r="V108" s="10"/>
      <c r="W108" s="10"/>
      <c r="X108" s="52"/>
      <c r="Y108" s="49" t="s">
        <v>77</v>
      </c>
      <c r="Z108" s="15">
        <v>21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58"/>
      <c r="AM108" s="63"/>
      <c r="AN108" s="10"/>
      <c r="AO108" s="10"/>
      <c r="AP108" s="10"/>
      <c r="AQ108" s="10"/>
      <c r="AR108" s="10"/>
      <c r="AS108" s="10"/>
      <c r="AT108" s="10"/>
      <c r="AU108" s="10"/>
      <c r="AV108" s="10"/>
      <c r="AW108" s="15"/>
      <c r="AX108" s="10"/>
      <c r="AY108" s="10"/>
      <c r="AZ108" s="10"/>
      <c r="BA108" s="10"/>
    </row>
    <row r="109" spans="1:53" hidden="1">
      <c r="A109" s="10" t="s">
        <v>58</v>
      </c>
      <c r="B109" s="10" t="s">
        <v>68</v>
      </c>
      <c r="C109" s="10" t="s">
        <v>60</v>
      </c>
      <c r="D109" s="11" t="s">
        <v>340</v>
      </c>
      <c r="E109" s="11"/>
      <c r="F109" s="11"/>
      <c r="G109" s="5"/>
      <c r="H109" s="11"/>
      <c r="I109" s="10" t="s">
        <v>74</v>
      </c>
      <c r="J109" s="87"/>
      <c r="K109" s="10" t="s">
        <v>75</v>
      </c>
      <c r="L109" s="10" t="s">
        <v>65</v>
      </c>
      <c r="M109" s="10" t="s">
        <v>66</v>
      </c>
      <c r="N109" s="19">
        <v>882731367</v>
      </c>
      <c r="O109" s="18">
        <v>46112</v>
      </c>
      <c r="P109" s="16">
        <v>46142</v>
      </c>
      <c r="Q109" s="16"/>
      <c r="R109" s="16"/>
      <c r="S109" s="10"/>
      <c r="T109" s="10"/>
      <c r="U109" s="10"/>
      <c r="V109" s="10"/>
      <c r="W109" s="10"/>
      <c r="X109" s="52"/>
      <c r="Y109" s="49" t="s">
        <v>77</v>
      </c>
      <c r="Z109" s="15">
        <v>24</v>
      </c>
      <c r="AA109" s="10" t="s">
        <v>112</v>
      </c>
      <c r="AB109" s="10"/>
      <c r="AC109" s="10"/>
      <c r="AD109" s="10"/>
      <c r="AE109" s="10"/>
      <c r="AF109" s="10"/>
      <c r="AG109" s="10"/>
      <c r="AH109" s="10"/>
      <c r="AI109" s="10"/>
      <c r="AJ109" s="15"/>
      <c r="AK109" s="15"/>
      <c r="AL109" s="58"/>
      <c r="AM109" s="63"/>
      <c r="AN109" s="10" t="s">
        <v>79</v>
      </c>
      <c r="AO109" s="10"/>
      <c r="AP109" s="10" t="s">
        <v>78</v>
      </c>
      <c r="AQ109" s="10" t="s">
        <v>60</v>
      </c>
      <c r="AR109" s="10"/>
      <c r="AS109" s="10"/>
      <c r="AT109" s="11"/>
      <c r="AU109" s="11"/>
      <c r="AV109" s="10"/>
      <c r="AW109" s="10"/>
      <c r="AX109" s="10" t="s">
        <v>60</v>
      </c>
      <c r="AY109" s="10" t="s">
        <v>60</v>
      </c>
      <c r="AZ109" s="10" t="s">
        <v>60</v>
      </c>
      <c r="BA109" s="10"/>
    </row>
    <row r="110" spans="1:53" ht="24" hidden="1">
      <c r="A110" s="13" t="s">
        <v>58</v>
      </c>
      <c r="B110" s="13" t="s">
        <v>68</v>
      </c>
      <c r="C110" s="13" t="s">
        <v>95</v>
      </c>
      <c r="D110" s="36" t="s">
        <v>341</v>
      </c>
      <c r="E110" s="36"/>
      <c r="F110" s="36" t="s">
        <v>342</v>
      </c>
      <c r="G110" s="101" t="s">
        <v>343</v>
      </c>
      <c r="H110" s="11"/>
      <c r="I110" s="13" t="s">
        <v>63</v>
      </c>
      <c r="J110" s="88" t="s">
        <v>344</v>
      </c>
      <c r="K110" s="13" t="s">
        <v>75</v>
      </c>
      <c r="L110" s="13" t="s">
        <v>65</v>
      </c>
      <c r="M110" s="13" t="s">
        <v>66</v>
      </c>
      <c r="N110" s="13">
        <v>830020335</v>
      </c>
      <c r="O110" s="18">
        <v>46022</v>
      </c>
      <c r="P110" s="16">
        <v>46094</v>
      </c>
      <c r="Q110" s="16"/>
      <c r="R110" s="16"/>
      <c r="S110" s="13"/>
      <c r="T110" s="13"/>
      <c r="U110" s="13"/>
      <c r="V110" s="13"/>
      <c r="W110" s="13"/>
      <c r="X110" s="55"/>
      <c r="Y110" s="50" t="s">
        <v>77</v>
      </c>
      <c r="Z110" s="27">
        <v>24</v>
      </c>
      <c r="AA110" s="10" t="s">
        <v>112</v>
      </c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62"/>
      <c r="AM110" s="66" t="s">
        <v>132</v>
      </c>
      <c r="AN110" s="13"/>
      <c r="AO110" s="13"/>
      <c r="AP110" s="13" t="s">
        <v>60</v>
      </c>
      <c r="AQ110" s="13"/>
      <c r="AR110" s="44"/>
      <c r="AS110" s="44"/>
      <c r="AT110" s="44"/>
      <c r="AU110" s="44"/>
      <c r="AV110" s="13"/>
      <c r="AW110" s="13"/>
      <c r="AX110" s="13"/>
      <c r="AY110" s="13"/>
      <c r="AZ110" s="13"/>
      <c r="BA110" s="13"/>
    </row>
    <row r="111" spans="1:53" hidden="1">
      <c r="A111" s="15" t="s">
        <v>58</v>
      </c>
      <c r="B111" s="10" t="s">
        <v>59</v>
      </c>
      <c r="C111" s="10" t="s">
        <v>60</v>
      </c>
      <c r="D111" s="11" t="s">
        <v>345</v>
      </c>
      <c r="E111" s="11"/>
      <c r="F111" s="10"/>
      <c r="G111" s="5" t="e">
        <f>VLOOKUP(N111,#REF!,3,FALSE)</f>
        <v>#REF!</v>
      </c>
      <c r="H111" s="10"/>
      <c r="I111" s="10"/>
      <c r="J111" s="88"/>
      <c r="K111" s="10" t="s">
        <v>64</v>
      </c>
      <c r="L111" s="10" t="s">
        <v>82</v>
      </c>
      <c r="M111" s="10" t="s">
        <v>66</v>
      </c>
      <c r="N111" s="13">
        <v>881647291</v>
      </c>
      <c r="O111" s="18">
        <v>46022</v>
      </c>
      <c r="P111" s="16">
        <v>46112</v>
      </c>
      <c r="Q111" s="16"/>
      <c r="R111" s="21"/>
      <c r="S111" s="10"/>
      <c r="T111" s="10"/>
      <c r="U111" s="10"/>
      <c r="V111" s="10"/>
      <c r="W111" s="10"/>
      <c r="X111" s="52"/>
      <c r="Y111" s="49" t="s">
        <v>77</v>
      </c>
      <c r="Z111" s="15">
        <v>21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58"/>
      <c r="AM111" s="63"/>
      <c r="AN111" s="18"/>
      <c r="AO111" s="10"/>
      <c r="AP111" s="10"/>
      <c r="AQ111" s="10"/>
      <c r="AR111" s="10"/>
      <c r="AS111" s="10"/>
      <c r="AT111" s="10"/>
      <c r="AU111" s="10"/>
      <c r="AV111" s="10"/>
      <c r="AW111" s="15"/>
      <c r="AX111" s="10"/>
      <c r="AY111" s="10"/>
      <c r="AZ111" s="10"/>
      <c r="BA111" s="10"/>
    </row>
    <row r="112" spans="1:53">
      <c r="A112" s="10" t="s">
        <v>84</v>
      </c>
      <c r="B112" s="10" t="s">
        <v>94</v>
      </c>
      <c r="C112" s="10" t="s">
        <v>85</v>
      </c>
      <c r="D112" s="22" t="s">
        <v>346</v>
      </c>
      <c r="E112" s="11"/>
      <c r="F112" s="11"/>
      <c r="G112" s="5"/>
      <c r="H112" s="11"/>
      <c r="I112" s="10" t="s">
        <v>63</v>
      </c>
      <c r="J112" s="89" t="s">
        <v>251</v>
      </c>
      <c r="K112" s="10"/>
      <c r="L112" s="15" t="s">
        <v>187</v>
      </c>
      <c r="M112" s="54" t="s">
        <v>347</v>
      </c>
      <c r="N112" s="96">
        <v>893274035</v>
      </c>
      <c r="O112" s="18"/>
      <c r="P112" s="16"/>
      <c r="Q112" s="16"/>
      <c r="R112" s="22"/>
      <c r="S112" s="10"/>
      <c r="T112" s="10"/>
      <c r="U112" s="10"/>
      <c r="V112" s="10"/>
      <c r="W112" s="10"/>
      <c r="X112" s="52"/>
      <c r="Y112" s="49" t="s">
        <v>77</v>
      </c>
      <c r="Z112" s="15">
        <v>24</v>
      </c>
      <c r="AA112" s="10" t="s">
        <v>78</v>
      </c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58"/>
      <c r="AM112" s="63"/>
      <c r="AN112" s="10"/>
      <c r="AO112" s="10"/>
      <c r="AP112" s="10"/>
      <c r="AQ112" s="10"/>
      <c r="AR112" s="106" t="s">
        <v>90</v>
      </c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 spans="1:53" hidden="1">
      <c r="A113" s="10" t="s">
        <v>84</v>
      </c>
      <c r="B113" s="10" t="s">
        <v>60</v>
      </c>
      <c r="C113" s="10" t="s">
        <v>95</v>
      </c>
      <c r="D113" s="11" t="s">
        <v>348</v>
      </c>
      <c r="E113" s="11" t="s">
        <v>349</v>
      </c>
      <c r="F113" s="10" t="s">
        <v>350</v>
      </c>
      <c r="G113" s="5" t="e">
        <f>VLOOKUP(N113,#REF!,3,FALSE)</f>
        <v>#REF!</v>
      </c>
      <c r="H113" s="10"/>
      <c r="I113" s="10" t="s">
        <v>142</v>
      </c>
      <c r="J113" s="87"/>
      <c r="K113" s="10" t="s">
        <v>212</v>
      </c>
      <c r="L113" s="10" t="s">
        <v>82</v>
      </c>
      <c r="M113" s="10" t="s">
        <v>76</v>
      </c>
      <c r="N113" s="13">
        <v>892136961</v>
      </c>
      <c r="O113" s="18">
        <v>46022</v>
      </c>
      <c r="P113" s="16">
        <v>46112</v>
      </c>
      <c r="Q113" s="16"/>
      <c r="R113" s="18"/>
      <c r="S113" s="10"/>
      <c r="T113" s="10"/>
      <c r="U113" s="10"/>
      <c r="V113" s="10"/>
      <c r="W113" s="10"/>
      <c r="X113" s="52"/>
      <c r="Y113" s="49"/>
      <c r="Z113" s="15"/>
      <c r="AA113" s="10"/>
      <c r="AB113" s="10"/>
      <c r="AC113" s="10"/>
      <c r="AD113" s="10"/>
      <c r="AE113" s="15"/>
      <c r="AF113" s="10"/>
      <c r="AG113" s="10"/>
      <c r="AH113" s="10"/>
      <c r="AI113" s="10"/>
      <c r="AJ113" s="10"/>
      <c r="AK113" s="10"/>
      <c r="AL113" s="58"/>
      <c r="AM113" s="63"/>
      <c r="AN113" s="10" t="s">
        <v>60</v>
      </c>
      <c r="AO113" s="10"/>
      <c r="AP113" s="10" t="s">
        <v>60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 spans="1:53" hidden="1">
      <c r="A114" s="10" t="s">
        <v>58</v>
      </c>
      <c r="B114" s="10" t="s">
        <v>68</v>
      </c>
      <c r="C114" s="10" t="s">
        <v>60</v>
      </c>
      <c r="D114" s="11" t="s">
        <v>351</v>
      </c>
      <c r="E114" s="11"/>
      <c r="F114" s="11"/>
      <c r="G114" s="5"/>
      <c r="H114" s="11"/>
      <c r="I114" s="10" t="s">
        <v>63</v>
      </c>
      <c r="J114" s="87"/>
      <c r="K114" s="10" t="s">
        <v>101</v>
      </c>
      <c r="L114" s="10" t="s">
        <v>65</v>
      </c>
      <c r="M114" s="10" t="s">
        <v>66</v>
      </c>
      <c r="N114" s="13">
        <v>877595181</v>
      </c>
      <c r="O114" s="18">
        <v>46203</v>
      </c>
      <c r="P114" s="16">
        <v>46233</v>
      </c>
      <c r="Q114" s="16"/>
      <c r="R114" s="16"/>
      <c r="S114" s="10"/>
      <c r="T114" s="10"/>
      <c r="U114" s="10"/>
      <c r="V114" s="10"/>
      <c r="W114" s="10"/>
      <c r="X114" s="52"/>
      <c r="Y114" s="49" t="s">
        <v>77</v>
      </c>
      <c r="Z114" s="15">
        <v>24</v>
      </c>
      <c r="AA114" s="10" t="s">
        <v>112</v>
      </c>
      <c r="AB114" s="10"/>
      <c r="AC114" s="15"/>
      <c r="AD114" s="15"/>
      <c r="AE114" s="15"/>
      <c r="AF114" s="15"/>
      <c r="AG114" s="15"/>
      <c r="AH114" s="15"/>
      <c r="AI114" s="15"/>
      <c r="AJ114" s="15"/>
      <c r="AK114" s="15"/>
      <c r="AL114" s="59"/>
      <c r="AM114" s="64"/>
      <c r="AN114" s="10" t="s">
        <v>60</v>
      </c>
      <c r="AO114" s="10"/>
      <c r="AP114" s="10" t="s">
        <v>60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 spans="1:53" hidden="1">
      <c r="A115" s="10" t="s">
        <v>58</v>
      </c>
      <c r="B115" s="10" t="s">
        <v>95</v>
      </c>
      <c r="C115" s="10" t="s">
        <v>95</v>
      </c>
      <c r="D115" s="11" t="s">
        <v>352</v>
      </c>
      <c r="E115" s="11"/>
      <c r="F115" s="10"/>
      <c r="G115" s="5"/>
      <c r="H115" s="10"/>
      <c r="I115" s="10"/>
      <c r="J115" s="87"/>
      <c r="K115" s="10" t="s">
        <v>75</v>
      </c>
      <c r="L115" s="10" t="s">
        <v>82</v>
      </c>
      <c r="M115" s="10" t="s">
        <v>66</v>
      </c>
      <c r="N115" s="13">
        <v>995238169</v>
      </c>
      <c r="O115" s="18">
        <v>46022</v>
      </c>
      <c r="P115" s="16">
        <v>46387</v>
      </c>
      <c r="Q115" s="16"/>
      <c r="R115" s="16"/>
      <c r="S115" s="10"/>
      <c r="T115" s="10"/>
      <c r="U115" s="10"/>
      <c r="V115" s="10"/>
      <c r="W115" s="10"/>
      <c r="X115" s="52"/>
      <c r="Y115" s="49" t="s">
        <v>77</v>
      </c>
      <c r="Z115" s="15">
        <v>21</v>
      </c>
      <c r="AA115" s="10"/>
      <c r="AB115" s="10"/>
      <c r="AC115" s="15"/>
      <c r="AD115" s="15"/>
      <c r="AE115" s="15"/>
      <c r="AF115" s="15"/>
      <c r="AG115" s="15"/>
      <c r="AH115" s="15"/>
      <c r="AI115" s="15"/>
      <c r="AJ115" s="15"/>
      <c r="AK115" s="15"/>
      <c r="AL115" s="59"/>
      <c r="AM115" s="64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 spans="1:53" hidden="1">
      <c r="A116" s="10" t="s">
        <v>58</v>
      </c>
      <c r="B116" s="10" t="s">
        <v>59</v>
      </c>
      <c r="C116" s="10" t="s">
        <v>60</v>
      </c>
      <c r="D116" s="11" t="s">
        <v>353</v>
      </c>
      <c r="E116" s="11"/>
      <c r="F116" s="11"/>
      <c r="G116" s="5"/>
      <c r="H116" s="11"/>
      <c r="I116" s="10"/>
      <c r="J116" s="88"/>
      <c r="K116" s="10" t="s">
        <v>64</v>
      </c>
      <c r="L116" s="10" t="s">
        <v>65</v>
      </c>
      <c r="M116" s="10" t="s">
        <v>66</v>
      </c>
      <c r="N116" s="13">
        <v>830551057</v>
      </c>
      <c r="O116" s="18">
        <v>46022</v>
      </c>
      <c r="P116" s="16">
        <v>46059</v>
      </c>
      <c r="Q116" s="16"/>
      <c r="R116" s="21"/>
      <c r="S116" s="10"/>
      <c r="T116" s="10"/>
      <c r="U116" s="10"/>
      <c r="V116" s="10"/>
      <c r="W116" s="10"/>
      <c r="X116" s="52"/>
      <c r="Y116" s="49" t="s">
        <v>77</v>
      </c>
      <c r="Z116" s="15">
        <v>24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58"/>
      <c r="AM116" s="63"/>
      <c r="AN116" s="10"/>
      <c r="AO116" s="10"/>
      <c r="AP116" s="10"/>
      <c r="AQ116" s="10"/>
      <c r="AR116" s="26"/>
      <c r="AS116" s="26"/>
      <c r="AT116" s="26"/>
      <c r="AU116" s="26"/>
      <c r="AV116" s="26"/>
      <c r="AW116" s="39"/>
      <c r="AX116" s="10"/>
      <c r="AY116" s="10"/>
      <c r="AZ116" s="10"/>
      <c r="BA116" s="10"/>
    </row>
    <row r="117" spans="1:53" hidden="1">
      <c r="A117" s="10" t="s">
        <v>84</v>
      </c>
      <c r="B117" s="10" t="s">
        <v>68</v>
      </c>
      <c r="C117" s="10" t="s">
        <v>60</v>
      </c>
      <c r="D117" s="11" t="s">
        <v>354</v>
      </c>
      <c r="E117" s="11"/>
      <c r="F117" s="11"/>
      <c r="G117" s="5"/>
      <c r="H117" s="11"/>
      <c r="I117" s="10" t="s">
        <v>63</v>
      </c>
      <c r="J117" s="87"/>
      <c r="K117" s="10" t="s">
        <v>75</v>
      </c>
      <c r="L117" s="10" t="s">
        <v>65</v>
      </c>
      <c r="M117" s="10" t="s">
        <v>66</v>
      </c>
      <c r="N117" s="13">
        <v>843263476</v>
      </c>
      <c r="O117" s="18">
        <v>46112</v>
      </c>
      <c r="P117" s="16">
        <v>46142</v>
      </c>
      <c r="Q117" s="16"/>
      <c r="R117" s="16"/>
      <c r="S117" s="10"/>
      <c r="T117" s="10"/>
      <c r="U117" s="10"/>
      <c r="V117" s="10"/>
      <c r="W117" s="10"/>
      <c r="X117" s="52"/>
      <c r="Y117" s="49" t="s">
        <v>67</v>
      </c>
      <c r="Z117" s="15">
        <v>24</v>
      </c>
      <c r="AA117" s="92"/>
      <c r="AB117" s="92"/>
      <c r="AC117" s="10"/>
      <c r="AD117" s="92"/>
      <c r="AE117" s="92"/>
      <c r="AF117" s="10"/>
      <c r="AG117" s="92"/>
      <c r="AH117" s="92"/>
      <c r="AI117" s="10"/>
      <c r="AJ117" s="92"/>
      <c r="AK117" s="92"/>
      <c r="AL117" s="62"/>
      <c r="AM117" s="63"/>
      <c r="AN117" s="10" t="s">
        <v>79</v>
      </c>
      <c r="AO117" s="10"/>
      <c r="AP117" s="10" t="s">
        <v>60</v>
      </c>
      <c r="AQ117" s="10" t="s">
        <v>60</v>
      </c>
      <c r="AR117" s="10"/>
      <c r="AS117" s="10"/>
      <c r="AT117" s="11"/>
      <c r="AU117" s="11"/>
      <c r="AV117" s="10"/>
      <c r="AW117" s="10"/>
      <c r="AX117" s="10" t="s">
        <v>60</v>
      </c>
      <c r="AY117" s="10" t="s">
        <v>60</v>
      </c>
      <c r="AZ117" s="10" t="s">
        <v>60</v>
      </c>
      <c r="BA117" s="10"/>
    </row>
    <row r="118" spans="1:53">
      <c r="A118" s="10" t="s">
        <v>84</v>
      </c>
      <c r="B118" s="10" t="s">
        <v>94</v>
      </c>
      <c r="C118" s="10" t="s">
        <v>85</v>
      </c>
      <c r="D118" s="11" t="s">
        <v>355</v>
      </c>
      <c r="E118" s="11"/>
      <c r="F118" s="10"/>
      <c r="G118" s="5"/>
      <c r="H118" s="10"/>
      <c r="I118" s="10" t="s">
        <v>63</v>
      </c>
      <c r="J118" s="72"/>
      <c r="K118" s="10" t="s">
        <v>182</v>
      </c>
      <c r="L118" s="10" t="s">
        <v>82</v>
      </c>
      <c r="M118" s="10" t="s">
        <v>66</v>
      </c>
      <c r="N118" s="13">
        <v>949909642</v>
      </c>
      <c r="O118" s="18">
        <v>46295</v>
      </c>
      <c r="P118" s="16">
        <v>46325</v>
      </c>
      <c r="Q118" s="16"/>
      <c r="R118" s="11"/>
      <c r="S118" s="10"/>
      <c r="T118" s="10"/>
      <c r="U118" s="10"/>
      <c r="V118" s="10"/>
      <c r="W118" s="10"/>
      <c r="X118" s="52"/>
      <c r="Y118" s="49" t="s">
        <v>77</v>
      </c>
      <c r="Z118" s="15">
        <v>21</v>
      </c>
      <c r="AA118" s="10" t="s">
        <v>78</v>
      </c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58"/>
      <c r="AM118" s="63"/>
      <c r="AN118" s="10"/>
      <c r="AO118" s="10"/>
      <c r="AP118" s="10"/>
      <c r="AQ118" s="10"/>
      <c r="AR118" s="10" t="s">
        <v>78</v>
      </c>
      <c r="AS118" s="10"/>
      <c r="AT118" s="10"/>
      <c r="AU118" s="10"/>
      <c r="AV118" s="10"/>
      <c r="AW118" s="10"/>
      <c r="AX118" s="10"/>
      <c r="AY118" s="10"/>
      <c r="AZ118" s="10" t="s">
        <v>356</v>
      </c>
      <c r="BA118" s="10"/>
    </row>
    <row r="119" spans="1:53" hidden="1">
      <c r="A119" s="10" t="s">
        <v>84</v>
      </c>
      <c r="B119" s="10" t="s">
        <v>68</v>
      </c>
      <c r="C119" s="10" t="s">
        <v>59</v>
      </c>
      <c r="D119" s="11" t="s">
        <v>357</v>
      </c>
      <c r="E119" s="11"/>
      <c r="F119" s="10"/>
      <c r="G119" s="5" t="e">
        <f>VLOOKUP(N119,#REF!,3,FALSE)</f>
        <v>#REF!</v>
      </c>
      <c r="H119" s="10"/>
      <c r="I119" s="10" t="s">
        <v>74</v>
      </c>
      <c r="J119" s="87" t="s">
        <v>165</v>
      </c>
      <c r="K119" s="10" t="s">
        <v>75</v>
      </c>
      <c r="L119" s="10" t="s">
        <v>82</v>
      </c>
      <c r="M119" s="10" t="s">
        <v>76</v>
      </c>
      <c r="N119" s="19">
        <v>980640890</v>
      </c>
      <c r="O119" s="18">
        <v>46022</v>
      </c>
      <c r="P119" s="102">
        <v>46059</v>
      </c>
      <c r="Q119" s="102" t="s">
        <v>358</v>
      </c>
      <c r="R119" s="16"/>
      <c r="S119" s="10" t="s">
        <v>286</v>
      </c>
      <c r="T119" s="10"/>
      <c r="U119" s="10"/>
      <c r="V119" s="10"/>
      <c r="W119" s="10"/>
      <c r="X119" s="52"/>
      <c r="Y119" s="49" t="s">
        <v>77</v>
      </c>
      <c r="Z119" s="10">
        <v>21</v>
      </c>
      <c r="AA119" s="10" t="s">
        <v>112</v>
      </c>
      <c r="AB119" s="10"/>
      <c r="AC119" s="10"/>
      <c r="AD119" s="10"/>
      <c r="AE119" s="10"/>
      <c r="AF119" s="10"/>
      <c r="AG119" s="10"/>
      <c r="AH119" s="11"/>
      <c r="AI119" s="10"/>
      <c r="AJ119" s="10"/>
      <c r="AK119" s="10"/>
      <c r="AL119" s="58"/>
      <c r="AM119" s="63" t="s">
        <v>108</v>
      </c>
      <c r="AN119" s="10" t="s">
        <v>108</v>
      </c>
      <c r="AO119" s="10"/>
      <c r="AP119" s="10" t="s">
        <v>60</v>
      </c>
      <c r="AQ119" s="10" t="s">
        <v>60</v>
      </c>
      <c r="AR119" s="10"/>
      <c r="AS119" s="10"/>
      <c r="AT119" s="10"/>
      <c r="AU119" s="10"/>
      <c r="AV119" s="10"/>
      <c r="AW119" s="10"/>
      <c r="AX119" s="10" t="s">
        <v>60</v>
      </c>
      <c r="AY119" s="10" t="s">
        <v>60</v>
      </c>
      <c r="AZ119" s="10" t="s">
        <v>60</v>
      </c>
      <c r="BA119" s="10"/>
    </row>
    <row r="120" spans="1:53" hidden="1">
      <c r="A120" s="10" t="s">
        <v>58</v>
      </c>
      <c r="B120" s="10" t="s">
        <v>68</v>
      </c>
      <c r="C120" s="10" t="s">
        <v>60</v>
      </c>
      <c r="D120" s="11" t="s">
        <v>359</v>
      </c>
      <c r="E120" s="11"/>
      <c r="F120" s="10"/>
      <c r="G120" s="5" t="e">
        <f>VLOOKUP(N120,#REF!,3,FALSE)</f>
        <v>#REF!</v>
      </c>
      <c r="H120" s="10" t="s">
        <v>131</v>
      </c>
      <c r="I120" s="10" t="s">
        <v>74</v>
      </c>
      <c r="J120" s="87"/>
      <c r="K120" s="10" t="s">
        <v>75</v>
      </c>
      <c r="L120" s="10" t="s">
        <v>120</v>
      </c>
      <c r="M120" s="10" t="s">
        <v>66</v>
      </c>
      <c r="N120" s="13">
        <v>819261132</v>
      </c>
      <c r="O120" s="18">
        <v>46022</v>
      </c>
      <c r="P120" s="16">
        <v>46059</v>
      </c>
      <c r="Q120" s="16"/>
      <c r="R120" s="16"/>
      <c r="S120" s="10" t="s">
        <v>273</v>
      </c>
      <c r="T120" s="10"/>
      <c r="U120" s="10"/>
      <c r="V120" s="10"/>
      <c r="W120" s="10"/>
      <c r="X120" s="52"/>
      <c r="Y120" s="49" t="s">
        <v>77</v>
      </c>
      <c r="Z120" s="15">
        <v>21</v>
      </c>
      <c r="AA120" s="10" t="s">
        <v>112</v>
      </c>
      <c r="AB120" s="10"/>
      <c r="AC120" s="10"/>
      <c r="AD120" s="10"/>
      <c r="AE120" s="10"/>
      <c r="AF120" s="10"/>
      <c r="AG120" s="10"/>
      <c r="AH120" s="11"/>
      <c r="AI120" s="10"/>
      <c r="AJ120" s="10"/>
      <c r="AK120" s="10"/>
      <c r="AL120" s="60"/>
      <c r="AM120" s="67"/>
      <c r="AN120" s="10" t="s">
        <v>79</v>
      </c>
      <c r="AO120" s="10"/>
      <c r="AP120" s="10" t="s">
        <v>78</v>
      </c>
      <c r="AQ120" s="10" t="s">
        <v>60</v>
      </c>
      <c r="AR120" s="10"/>
      <c r="AS120" s="10"/>
      <c r="AT120" s="11"/>
      <c r="AU120" s="11"/>
      <c r="AV120" s="10"/>
      <c r="AW120" s="10"/>
      <c r="AX120" s="10" t="s">
        <v>60</v>
      </c>
      <c r="AY120" s="10" t="s">
        <v>60</v>
      </c>
      <c r="AZ120" s="10" t="s">
        <v>60</v>
      </c>
      <c r="BA120" s="10"/>
    </row>
    <row r="121" spans="1:53" hidden="1">
      <c r="A121" s="10" t="s">
        <v>84</v>
      </c>
      <c r="B121" s="10" t="s">
        <v>68</v>
      </c>
      <c r="C121" s="10" t="s">
        <v>60</v>
      </c>
      <c r="D121" s="11" t="s">
        <v>360</v>
      </c>
      <c r="E121" s="11"/>
      <c r="F121" s="10"/>
      <c r="G121" s="5" t="e">
        <f>VLOOKUP(N121,#REF!,3,FALSE)</f>
        <v>#REF!</v>
      </c>
      <c r="H121" s="10"/>
      <c r="I121" s="10" t="s">
        <v>74</v>
      </c>
      <c r="J121" s="87"/>
      <c r="K121" s="10" t="s">
        <v>212</v>
      </c>
      <c r="L121" s="10" t="s">
        <v>102</v>
      </c>
      <c r="M121" s="10" t="s">
        <v>66</v>
      </c>
      <c r="N121" s="19">
        <v>808870844</v>
      </c>
      <c r="O121" s="18">
        <v>46022</v>
      </c>
      <c r="P121" s="16">
        <v>46087</v>
      </c>
      <c r="Q121" s="16"/>
      <c r="R121" s="16"/>
      <c r="S121" s="10"/>
      <c r="T121" s="10"/>
      <c r="U121" s="10"/>
      <c r="V121" s="10"/>
      <c r="W121" s="10"/>
      <c r="X121" s="52"/>
      <c r="Y121" s="49" t="s">
        <v>71</v>
      </c>
      <c r="Z121" s="15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58"/>
      <c r="AM121" s="63"/>
      <c r="AN121" s="10"/>
      <c r="AO121" s="10"/>
      <c r="AP121" s="10"/>
      <c r="AQ121" s="10" t="s">
        <v>78</v>
      </c>
      <c r="AR121" s="10"/>
      <c r="AS121" s="10"/>
      <c r="AT121" s="11"/>
      <c r="AU121" s="11"/>
      <c r="AV121" s="10"/>
      <c r="AW121" s="10"/>
      <c r="AX121" s="10" t="s">
        <v>60</v>
      </c>
      <c r="AY121" s="10" t="s">
        <v>60</v>
      </c>
      <c r="AZ121" s="10" t="s">
        <v>60</v>
      </c>
      <c r="BA121" s="10"/>
    </row>
    <row r="122" spans="1:53" hidden="1">
      <c r="A122" s="10" t="s">
        <v>58</v>
      </c>
      <c r="B122" s="10" t="s">
        <v>68</v>
      </c>
      <c r="C122" s="10" t="s">
        <v>60</v>
      </c>
      <c r="D122" s="11" t="s">
        <v>361</v>
      </c>
      <c r="E122" s="11" t="s">
        <v>362</v>
      </c>
      <c r="F122" s="10"/>
      <c r="G122" s="5" t="e">
        <f>VLOOKUP(N122,#REF!,3,FALSE)</f>
        <v>#REF!</v>
      </c>
      <c r="H122" s="10"/>
      <c r="I122" s="10" t="s">
        <v>63</v>
      </c>
      <c r="J122" s="87"/>
      <c r="K122" s="10" t="s">
        <v>212</v>
      </c>
      <c r="L122" s="10" t="s">
        <v>102</v>
      </c>
      <c r="M122" s="10" t="s">
        <v>66</v>
      </c>
      <c r="N122" s="13">
        <v>887638872</v>
      </c>
      <c r="O122" s="18">
        <v>46022</v>
      </c>
      <c r="P122" s="16">
        <v>46115</v>
      </c>
      <c r="Q122" s="16"/>
      <c r="R122" s="16"/>
      <c r="S122" s="10"/>
      <c r="T122" s="10"/>
      <c r="U122" s="10"/>
      <c r="V122" s="10"/>
      <c r="W122" s="10"/>
      <c r="X122" s="52"/>
      <c r="Y122" s="49" t="s">
        <v>77</v>
      </c>
      <c r="Z122" s="15">
        <v>21</v>
      </c>
      <c r="AA122" s="10" t="s">
        <v>112</v>
      </c>
      <c r="AB122" s="10"/>
      <c r="AC122" s="10"/>
      <c r="AD122" s="10"/>
      <c r="AE122" s="10"/>
      <c r="AF122" s="10"/>
      <c r="AG122" s="10"/>
      <c r="AH122" s="11"/>
      <c r="AI122" s="10"/>
      <c r="AJ122" s="10"/>
      <c r="AK122" s="11"/>
      <c r="AL122" s="60"/>
      <c r="AM122" s="63" t="s">
        <v>79</v>
      </c>
      <c r="AN122" s="10" t="s">
        <v>60</v>
      </c>
      <c r="AO122" s="10"/>
      <c r="AP122" s="10" t="s">
        <v>60</v>
      </c>
      <c r="AQ122" s="10" t="s">
        <v>78</v>
      </c>
      <c r="AR122" s="10"/>
      <c r="AS122" s="10"/>
      <c r="AT122" s="11"/>
      <c r="AU122" s="11"/>
      <c r="AV122" s="10"/>
      <c r="AW122" s="10"/>
      <c r="AX122" s="10" t="s">
        <v>60</v>
      </c>
      <c r="AY122" s="10" t="s">
        <v>60</v>
      </c>
      <c r="AZ122" s="10" t="s">
        <v>60</v>
      </c>
      <c r="BA122" s="10"/>
    </row>
    <row r="123" spans="1:53" hidden="1">
      <c r="A123" s="10" t="s">
        <v>84</v>
      </c>
      <c r="B123" s="10" t="s">
        <v>60</v>
      </c>
      <c r="C123" s="10" t="s">
        <v>95</v>
      </c>
      <c r="D123" s="11" t="s">
        <v>363</v>
      </c>
      <c r="E123" s="11" t="s">
        <v>97</v>
      </c>
      <c r="F123" s="10"/>
      <c r="G123" s="101"/>
      <c r="H123" s="10"/>
      <c r="I123" s="10" t="s">
        <v>142</v>
      </c>
      <c r="J123" s="87"/>
      <c r="K123" s="10" t="s">
        <v>212</v>
      </c>
      <c r="L123" s="10" t="s">
        <v>102</v>
      </c>
      <c r="M123" s="10" t="s">
        <v>76</v>
      </c>
      <c r="N123" s="13">
        <v>400169694</v>
      </c>
      <c r="O123" s="18">
        <v>46022</v>
      </c>
      <c r="P123" s="16">
        <v>46090</v>
      </c>
      <c r="Q123" s="16"/>
      <c r="R123" s="18"/>
      <c r="S123" s="10"/>
      <c r="T123" s="10"/>
      <c r="U123" s="10"/>
      <c r="V123" s="10"/>
      <c r="W123" s="10"/>
      <c r="X123" s="52"/>
      <c r="Y123" s="49" t="s">
        <v>77</v>
      </c>
      <c r="Z123" s="15">
        <v>21</v>
      </c>
      <c r="AA123" s="10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59"/>
      <c r="AM123" s="64"/>
      <c r="AN123" s="10" t="s">
        <v>60</v>
      </c>
      <c r="AO123" s="10"/>
      <c r="AP123" s="10" t="s">
        <v>60</v>
      </c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 spans="1:53" hidden="1">
      <c r="A124" s="10" t="s">
        <v>84</v>
      </c>
      <c r="B124" s="10" t="s">
        <v>60</v>
      </c>
      <c r="C124" s="10" t="s">
        <v>95</v>
      </c>
      <c r="D124" s="11" t="s">
        <v>364</v>
      </c>
      <c r="E124" s="11" t="s">
        <v>365</v>
      </c>
      <c r="F124" s="10" t="s">
        <v>366</v>
      </c>
      <c r="G124" s="101" t="s">
        <v>141</v>
      </c>
      <c r="H124" s="10"/>
      <c r="I124" s="10" t="s">
        <v>142</v>
      </c>
      <c r="J124" s="87"/>
      <c r="K124" s="10" t="s">
        <v>101</v>
      </c>
      <c r="L124" s="10" t="s">
        <v>102</v>
      </c>
      <c r="M124" s="10" t="s">
        <v>66</v>
      </c>
      <c r="N124" s="13">
        <v>452654767</v>
      </c>
      <c r="O124" s="18">
        <v>46022</v>
      </c>
      <c r="P124" s="16">
        <v>46092</v>
      </c>
      <c r="Q124" s="16"/>
      <c r="R124" s="18"/>
      <c r="S124" s="10"/>
      <c r="T124" s="10"/>
      <c r="U124" s="10"/>
      <c r="V124" s="10"/>
      <c r="W124" s="10"/>
      <c r="X124" s="52"/>
      <c r="Y124" s="49" t="s">
        <v>77</v>
      </c>
      <c r="Z124" s="15">
        <v>21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59"/>
      <c r="AM124" s="64" t="s">
        <v>79</v>
      </c>
      <c r="AN124" s="10" t="s">
        <v>60</v>
      </c>
      <c r="AO124" s="10" t="s">
        <v>367</v>
      </c>
      <c r="AP124" s="10" t="s">
        <v>60</v>
      </c>
      <c r="AQ124" s="10"/>
      <c r="AR124" s="10"/>
      <c r="AS124" s="10"/>
      <c r="AT124" s="10"/>
      <c r="AU124" s="10"/>
      <c r="AV124" s="10"/>
      <c r="AW124" s="10"/>
      <c r="AX124" s="10"/>
      <c r="AY124" s="29"/>
      <c r="AZ124" s="29"/>
      <c r="BA124" s="10"/>
    </row>
    <row r="125" spans="1:53" hidden="1">
      <c r="A125" s="10" t="s">
        <v>84</v>
      </c>
      <c r="B125" s="10" t="s">
        <v>68</v>
      </c>
      <c r="C125" s="10" t="s">
        <v>60</v>
      </c>
      <c r="D125" s="11" t="s">
        <v>368</v>
      </c>
      <c r="E125" s="11"/>
      <c r="F125" s="11"/>
      <c r="G125" s="5"/>
      <c r="H125" s="11"/>
      <c r="I125" s="10" t="s">
        <v>63</v>
      </c>
      <c r="J125" s="87"/>
      <c r="K125" s="10" t="s">
        <v>212</v>
      </c>
      <c r="L125" s="10" t="s">
        <v>102</v>
      </c>
      <c r="M125" s="10" t="s">
        <v>66</v>
      </c>
      <c r="N125" s="19">
        <v>978318418</v>
      </c>
      <c r="O125" s="18">
        <v>46022</v>
      </c>
      <c r="P125" s="16">
        <v>46115</v>
      </c>
      <c r="Q125" s="16"/>
      <c r="R125" s="16"/>
      <c r="S125" s="10"/>
      <c r="T125" s="10"/>
      <c r="U125" s="10"/>
      <c r="V125" s="10"/>
      <c r="W125" s="10"/>
      <c r="X125" s="52"/>
      <c r="Y125" s="51" t="s">
        <v>77</v>
      </c>
      <c r="Z125" s="15">
        <v>24</v>
      </c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3"/>
      <c r="AM125" s="63" t="s">
        <v>108</v>
      </c>
      <c r="AN125" s="10" t="s">
        <v>108</v>
      </c>
      <c r="AO125" s="10"/>
      <c r="AP125" s="10" t="s">
        <v>60</v>
      </c>
      <c r="AQ125" s="10" t="s">
        <v>60</v>
      </c>
      <c r="AR125" s="10"/>
      <c r="AS125" s="10"/>
      <c r="AT125" s="11"/>
      <c r="AU125" s="11"/>
      <c r="AV125" s="10"/>
      <c r="AW125" s="10"/>
      <c r="AX125" s="10" t="s">
        <v>60</v>
      </c>
      <c r="AY125" s="10" t="s">
        <v>60</v>
      </c>
      <c r="AZ125" s="10" t="s">
        <v>60</v>
      </c>
      <c r="BA125" s="10"/>
    </row>
    <row r="126" spans="1:53">
      <c r="A126" s="10" t="s">
        <v>84</v>
      </c>
      <c r="B126" s="10" t="s">
        <v>94</v>
      </c>
      <c r="C126" s="10" t="s">
        <v>85</v>
      </c>
      <c r="D126" s="11" t="s">
        <v>369</v>
      </c>
      <c r="E126" s="11"/>
      <c r="F126" s="10"/>
      <c r="G126" s="5" t="e">
        <f>VLOOKUP(N126,#REF!,3,FALSE)</f>
        <v>#REF!</v>
      </c>
      <c r="H126" s="10"/>
      <c r="I126" s="10" t="s">
        <v>63</v>
      </c>
      <c r="J126" s="70"/>
      <c r="K126" s="10" t="s">
        <v>182</v>
      </c>
      <c r="L126" s="10" t="s">
        <v>102</v>
      </c>
      <c r="M126" s="10" t="s">
        <v>76</v>
      </c>
      <c r="N126" s="13">
        <v>951021047</v>
      </c>
      <c r="O126" s="18">
        <v>46022</v>
      </c>
      <c r="P126" s="16">
        <v>46062</v>
      </c>
      <c r="Q126" s="16"/>
      <c r="R126" s="18"/>
      <c r="S126" s="10"/>
      <c r="T126" s="10"/>
      <c r="U126" s="10"/>
      <c r="V126" s="10"/>
      <c r="W126" s="10"/>
      <c r="X126" s="52"/>
      <c r="Y126" s="49" t="s">
        <v>67</v>
      </c>
      <c r="Z126" s="15">
        <v>21</v>
      </c>
      <c r="AA126" s="95" t="s">
        <v>175</v>
      </c>
      <c r="AB126" s="10"/>
      <c r="AC126" s="10"/>
      <c r="AD126" s="10"/>
      <c r="AE126" s="15"/>
      <c r="AF126" s="10"/>
      <c r="AG126" s="10"/>
      <c r="AH126" s="10"/>
      <c r="AI126" s="10"/>
      <c r="AJ126" s="10"/>
      <c r="AK126" s="10"/>
      <c r="AL126" s="59"/>
      <c r="AM126" s="64"/>
      <c r="AN126" s="10" t="s">
        <v>60</v>
      </c>
      <c r="AO126" s="10"/>
      <c r="AP126" s="10" t="s">
        <v>60</v>
      </c>
      <c r="AQ126" s="10"/>
      <c r="AR126" s="95" t="s">
        <v>175</v>
      </c>
      <c r="AS126" s="10"/>
      <c r="AT126" s="10"/>
      <c r="AU126" s="10"/>
      <c r="AV126" s="10"/>
      <c r="AW126" s="10"/>
      <c r="AX126" s="10"/>
      <c r="AY126" s="10"/>
      <c r="AZ126" s="10" t="s">
        <v>185</v>
      </c>
      <c r="BA126" s="10"/>
    </row>
    <row r="127" spans="1:53" hidden="1">
      <c r="A127" s="10" t="s">
        <v>58</v>
      </c>
      <c r="B127" s="10" t="s">
        <v>68</v>
      </c>
      <c r="C127" s="10" t="s">
        <v>60</v>
      </c>
      <c r="D127" s="11" t="s">
        <v>370</v>
      </c>
      <c r="E127" s="11" t="s">
        <v>362</v>
      </c>
      <c r="F127" s="10"/>
      <c r="G127" s="5" t="e">
        <f>VLOOKUP(N127,#REF!,3,FALSE)</f>
        <v>#REF!</v>
      </c>
      <c r="H127" s="10"/>
      <c r="I127" s="10" t="s">
        <v>63</v>
      </c>
      <c r="J127" s="87"/>
      <c r="K127" s="10" t="s">
        <v>212</v>
      </c>
      <c r="L127" s="10" t="s">
        <v>102</v>
      </c>
      <c r="M127" s="10" t="s">
        <v>66</v>
      </c>
      <c r="N127" s="13">
        <v>887842128</v>
      </c>
      <c r="O127" s="18">
        <v>46022</v>
      </c>
      <c r="P127" s="16">
        <v>46122</v>
      </c>
      <c r="Q127" s="16"/>
      <c r="R127" s="16"/>
      <c r="S127" s="10"/>
      <c r="T127" s="10"/>
      <c r="U127" s="10"/>
      <c r="V127" s="10"/>
      <c r="W127" s="10"/>
      <c r="X127" s="52"/>
      <c r="Y127" s="49" t="s">
        <v>146</v>
      </c>
      <c r="Z127" s="15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58"/>
      <c r="AM127" s="63" t="s">
        <v>371</v>
      </c>
      <c r="AN127" s="10" t="s">
        <v>60</v>
      </c>
      <c r="AO127" s="10"/>
      <c r="AP127" s="10"/>
      <c r="AQ127" s="10" t="s">
        <v>78</v>
      </c>
      <c r="AR127" s="10"/>
      <c r="AS127" s="10"/>
      <c r="AT127" s="11"/>
      <c r="AU127" s="11"/>
      <c r="AV127" s="10"/>
      <c r="AW127" s="10"/>
      <c r="AX127" s="10" t="s">
        <v>60</v>
      </c>
      <c r="AY127" s="10" t="s">
        <v>60</v>
      </c>
      <c r="AZ127" s="10" t="s">
        <v>60</v>
      </c>
      <c r="BA127" s="10"/>
    </row>
    <row r="128" spans="1:53" hidden="1">
      <c r="A128" s="10" t="s">
        <v>58</v>
      </c>
      <c r="B128" s="10" t="s">
        <v>68</v>
      </c>
      <c r="C128" s="10" t="s">
        <v>60</v>
      </c>
      <c r="D128" s="11" t="s">
        <v>372</v>
      </c>
      <c r="E128" s="11" t="s">
        <v>373</v>
      </c>
      <c r="F128" s="10"/>
      <c r="G128" s="5" t="e">
        <f>VLOOKUP(N128,#REF!,3,FALSE)</f>
        <v>#REF!</v>
      </c>
      <c r="H128" s="10"/>
      <c r="I128" s="10" t="s">
        <v>63</v>
      </c>
      <c r="J128" s="87"/>
      <c r="K128" s="10" t="s">
        <v>212</v>
      </c>
      <c r="L128" s="10" t="s">
        <v>102</v>
      </c>
      <c r="M128" s="10"/>
      <c r="N128" s="13">
        <v>922050471</v>
      </c>
      <c r="O128" s="18">
        <v>46022</v>
      </c>
      <c r="P128" s="103">
        <v>46080</v>
      </c>
      <c r="Q128" s="16" t="s">
        <v>152</v>
      </c>
      <c r="R128" s="16"/>
      <c r="S128" s="10"/>
      <c r="T128" s="10"/>
      <c r="U128" s="10"/>
      <c r="V128" s="10"/>
      <c r="W128" s="10"/>
      <c r="X128" s="56"/>
      <c r="Y128" s="49"/>
      <c r="Z128" s="15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3"/>
      <c r="AM128" s="63" t="s">
        <v>108</v>
      </c>
      <c r="AN128" s="10" t="s">
        <v>108</v>
      </c>
      <c r="AO128" s="10"/>
      <c r="AP128" s="10"/>
      <c r="AQ128" s="10" t="s">
        <v>374</v>
      </c>
      <c r="AR128" s="10"/>
      <c r="AS128" s="10"/>
      <c r="AT128" s="11"/>
      <c r="AU128" s="11"/>
      <c r="AV128" s="10"/>
      <c r="AW128" s="10"/>
      <c r="AX128" s="10"/>
      <c r="AY128" s="10"/>
      <c r="AZ128" s="10" t="s">
        <v>60</v>
      </c>
      <c r="BA128" s="10"/>
    </row>
    <row r="129" spans="1:53" hidden="1">
      <c r="A129" s="10" t="s">
        <v>58</v>
      </c>
      <c r="B129" s="10" t="s">
        <v>68</v>
      </c>
      <c r="C129" s="10" t="s">
        <v>60</v>
      </c>
      <c r="D129" s="11" t="s">
        <v>375</v>
      </c>
      <c r="E129" s="11" t="s">
        <v>376</v>
      </c>
      <c r="F129" s="10"/>
      <c r="G129" s="5" t="e">
        <f>VLOOKUP(N129,#REF!,3,FALSE)</f>
        <v>#REF!</v>
      </c>
      <c r="H129" s="10"/>
      <c r="I129" s="10" t="s">
        <v>63</v>
      </c>
      <c r="J129" s="87"/>
      <c r="K129" s="10" t="s">
        <v>212</v>
      </c>
      <c r="L129" s="10" t="s">
        <v>102</v>
      </c>
      <c r="M129" s="10" t="s">
        <v>66</v>
      </c>
      <c r="N129" s="13">
        <v>827947946</v>
      </c>
      <c r="O129" s="18">
        <v>46022</v>
      </c>
      <c r="P129" s="103">
        <v>46080</v>
      </c>
      <c r="Q129" s="16" t="s">
        <v>152</v>
      </c>
      <c r="R129" s="16"/>
      <c r="S129" s="10"/>
      <c r="T129" s="10"/>
      <c r="U129" s="10"/>
      <c r="V129" s="10"/>
      <c r="W129" s="10"/>
      <c r="X129" s="52"/>
      <c r="Y129" s="49" t="s">
        <v>146</v>
      </c>
      <c r="Z129" s="15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58"/>
      <c r="AM129" s="63" t="s">
        <v>108</v>
      </c>
      <c r="AN129" s="10" t="s">
        <v>108</v>
      </c>
      <c r="AO129" s="10"/>
      <c r="AP129" s="10"/>
      <c r="AQ129" s="10" t="s">
        <v>60</v>
      </c>
      <c r="AR129" s="10"/>
      <c r="AS129" s="10"/>
      <c r="AT129" s="11"/>
      <c r="AU129" s="11"/>
      <c r="AV129" s="10"/>
      <c r="AW129" s="10"/>
      <c r="AX129" s="10" t="s">
        <v>60</v>
      </c>
      <c r="AY129" s="10" t="s">
        <v>60</v>
      </c>
      <c r="AZ129" s="10" t="s">
        <v>60</v>
      </c>
      <c r="BA129" s="10"/>
    </row>
    <row r="130" spans="1:53">
      <c r="A130" s="10" t="s">
        <v>84</v>
      </c>
      <c r="B130" s="10" t="s">
        <v>68</v>
      </c>
      <c r="C130" s="10" t="s">
        <v>85</v>
      </c>
      <c r="D130" s="11" t="s">
        <v>377</v>
      </c>
      <c r="E130" s="11"/>
      <c r="F130" s="10"/>
      <c r="G130" s="5" t="e">
        <f>VLOOKUP(N130,#REF!,3,FALSE)</f>
        <v>#REF!</v>
      </c>
      <c r="H130" s="10"/>
      <c r="I130" s="10" t="s">
        <v>63</v>
      </c>
      <c r="J130" s="87"/>
      <c r="K130" s="10" t="s">
        <v>101</v>
      </c>
      <c r="L130" s="10" t="s">
        <v>102</v>
      </c>
      <c r="M130" s="10" t="s">
        <v>66</v>
      </c>
      <c r="N130" s="13">
        <v>442004610</v>
      </c>
      <c r="O130" s="18">
        <v>46053</v>
      </c>
      <c r="P130" s="16">
        <v>46083</v>
      </c>
      <c r="Q130" s="16"/>
      <c r="R130" s="16"/>
      <c r="S130" s="10"/>
      <c r="T130" s="10"/>
      <c r="U130" s="10"/>
      <c r="V130" s="10"/>
      <c r="W130" s="10"/>
      <c r="X130" s="52"/>
      <c r="Y130" s="49"/>
      <c r="Z130" s="10" t="s">
        <v>378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58"/>
      <c r="AM130" s="63" t="s">
        <v>379</v>
      </c>
      <c r="AN130" s="10"/>
      <c r="AO130" s="10"/>
      <c r="AP130" s="10" t="s">
        <v>60</v>
      </c>
      <c r="AQ130" s="10" t="s">
        <v>78</v>
      </c>
      <c r="AR130" s="10" t="s">
        <v>78</v>
      </c>
      <c r="AS130" s="10"/>
      <c r="AT130" s="11"/>
      <c r="AU130" s="11"/>
      <c r="AV130" s="10"/>
      <c r="AW130" s="10"/>
      <c r="AX130" s="10" t="s">
        <v>60</v>
      </c>
      <c r="AY130" s="10" t="s">
        <v>60</v>
      </c>
      <c r="AZ130" s="10" t="s">
        <v>60</v>
      </c>
      <c r="BA130" s="10"/>
    </row>
    <row r="131" spans="1:53">
      <c r="A131" s="10" t="s">
        <v>84</v>
      </c>
      <c r="B131" s="10" t="s">
        <v>60</v>
      </c>
      <c r="C131" s="10" t="s">
        <v>85</v>
      </c>
      <c r="D131" s="11" t="s">
        <v>380</v>
      </c>
      <c r="E131" s="11"/>
      <c r="F131" s="10"/>
      <c r="G131" s="5" t="e">
        <f>VLOOKUP(N131,#REF!,3,FALSE)</f>
        <v>#REF!</v>
      </c>
      <c r="H131" s="10" t="s">
        <v>268</v>
      </c>
      <c r="I131" s="10" t="s">
        <v>142</v>
      </c>
      <c r="J131" s="87"/>
      <c r="K131" s="10" t="s">
        <v>182</v>
      </c>
      <c r="L131" s="10" t="s">
        <v>102</v>
      </c>
      <c r="M131" s="10" t="s">
        <v>76</v>
      </c>
      <c r="N131" s="13">
        <v>841123029</v>
      </c>
      <c r="O131" s="18">
        <v>46022</v>
      </c>
      <c r="P131" s="16">
        <v>46084</v>
      </c>
      <c r="Q131" s="16"/>
      <c r="R131" s="18"/>
      <c r="S131" s="10"/>
      <c r="T131" s="10"/>
      <c r="U131" s="10"/>
      <c r="V131" s="10"/>
      <c r="W131" s="10"/>
      <c r="X131" s="52"/>
      <c r="Y131" s="49"/>
      <c r="Z131" s="15"/>
      <c r="AA131" s="95" t="s">
        <v>175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59"/>
      <c r="AM131" s="64" t="s">
        <v>379</v>
      </c>
      <c r="AN131" s="10"/>
      <c r="AO131" s="10"/>
      <c r="AP131" s="10" t="s">
        <v>60</v>
      </c>
      <c r="AQ131" s="10"/>
      <c r="AR131" s="105" t="s">
        <v>271</v>
      </c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 spans="1:53">
      <c r="A132" s="10" t="s">
        <v>84</v>
      </c>
      <c r="B132" s="10" t="s">
        <v>94</v>
      </c>
      <c r="C132" s="10" t="s">
        <v>85</v>
      </c>
      <c r="D132" s="11" t="s">
        <v>381</v>
      </c>
      <c r="E132" s="11"/>
      <c r="F132" s="10"/>
      <c r="G132" s="5" t="e">
        <f>VLOOKUP(N132,#REF!,3,FALSE)</f>
        <v>#REF!</v>
      </c>
      <c r="H132" s="10"/>
      <c r="I132" s="10" t="s">
        <v>63</v>
      </c>
      <c r="J132" s="88" t="s">
        <v>382</v>
      </c>
      <c r="K132" s="10" t="s">
        <v>64</v>
      </c>
      <c r="L132" s="10" t="s">
        <v>102</v>
      </c>
      <c r="M132" s="10" t="s">
        <v>76</v>
      </c>
      <c r="N132" s="13">
        <v>431217207</v>
      </c>
      <c r="O132" s="18">
        <v>46022</v>
      </c>
      <c r="P132" s="16">
        <v>46059</v>
      </c>
      <c r="Q132" s="16"/>
      <c r="R132" s="18"/>
      <c r="S132" s="10"/>
      <c r="T132" s="10"/>
      <c r="U132" s="10"/>
      <c r="V132" s="10"/>
      <c r="W132" s="10"/>
      <c r="X132" s="52"/>
      <c r="Y132" s="49" t="s">
        <v>77</v>
      </c>
      <c r="Z132" s="15">
        <v>21</v>
      </c>
      <c r="AA132" s="10" t="s">
        <v>78</v>
      </c>
      <c r="AB132" s="15"/>
      <c r="AC132" s="15"/>
      <c r="AD132" s="15"/>
      <c r="AE132" s="15"/>
      <c r="AF132" s="15"/>
      <c r="AG132" s="15"/>
      <c r="AH132" s="15"/>
      <c r="AI132" s="10"/>
      <c r="AJ132" s="10"/>
      <c r="AK132" s="10"/>
      <c r="AL132" s="59"/>
      <c r="AM132" s="64"/>
      <c r="AN132" s="10"/>
      <c r="AO132" s="10"/>
      <c r="AP132" s="10"/>
      <c r="AQ132" s="10"/>
      <c r="AR132" s="95" t="s">
        <v>175</v>
      </c>
      <c r="AS132" s="10"/>
      <c r="AT132" s="10"/>
      <c r="AU132" s="10"/>
      <c r="AV132" s="10"/>
      <c r="AW132" s="10"/>
      <c r="AX132" s="10"/>
      <c r="AY132" s="10"/>
      <c r="AZ132" s="10" t="s">
        <v>185</v>
      </c>
      <c r="BA132" s="10"/>
    </row>
    <row r="133" spans="1:53" hidden="1">
      <c r="A133" s="10" t="s">
        <v>58</v>
      </c>
      <c r="B133" s="10" t="s">
        <v>68</v>
      </c>
      <c r="C133" s="10" t="s">
        <v>60</v>
      </c>
      <c r="D133" s="11" t="s">
        <v>383</v>
      </c>
      <c r="E133" s="11"/>
      <c r="F133" s="10"/>
      <c r="G133" s="5" t="e">
        <f>VLOOKUP(N133,#REF!,3,FALSE)</f>
        <v>#REF!</v>
      </c>
      <c r="H133" s="10"/>
      <c r="I133" s="10" t="s">
        <v>63</v>
      </c>
      <c r="J133" s="87"/>
      <c r="K133" s="10" t="s">
        <v>212</v>
      </c>
      <c r="L133" s="10" t="s">
        <v>102</v>
      </c>
      <c r="M133" s="10" t="s">
        <v>66</v>
      </c>
      <c r="N133" s="19">
        <v>841070667</v>
      </c>
      <c r="O133" s="18">
        <v>46203</v>
      </c>
      <c r="P133" s="16">
        <v>46233</v>
      </c>
      <c r="Q133" s="16"/>
      <c r="R133" s="16"/>
      <c r="S133" s="10"/>
      <c r="T133" s="10"/>
      <c r="U133" s="10"/>
      <c r="V133" s="10"/>
      <c r="W133" s="10"/>
      <c r="X133" s="52"/>
      <c r="Y133" s="49" t="s">
        <v>146</v>
      </c>
      <c r="Z133" s="15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58"/>
      <c r="AM133" s="63" t="s">
        <v>108</v>
      </c>
      <c r="AN133" s="10" t="s">
        <v>108</v>
      </c>
      <c r="AO133" s="10"/>
      <c r="AP133" s="10"/>
      <c r="AQ133" s="10" t="s">
        <v>78</v>
      </c>
      <c r="AR133" s="10"/>
      <c r="AS133" s="10"/>
      <c r="AT133" s="11"/>
      <c r="AU133" s="11"/>
      <c r="AV133" s="10"/>
      <c r="AW133" s="10"/>
      <c r="AX133" s="10" t="s">
        <v>60</v>
      </c>
      <c r="AY133" s="10" t="s">
        <v>60</v>
      </c>
      <c r="AZ133" s="10" t="s">
        <v>60</v>
      </c>
      <c r="BA133" s="10"/>
    </row>
    <row r="134" spans="1:53" hidden="1">
      <c r="A134" s="10" t="s">
        <v>84</v>
      </c>
      <c r="B134" s="10" t="s">
        <v>95</v>
      </c>
      <c r="C134" s="10" t="s">
        <v>95</v>
      </c>
      <c r="D134" s="11" t="s">
        <v>384</v>
      </c>
      <c r="E134" s="11" t="s">
        <v>385</v>
      </c>
      <c r="F134" s="10" t="s">
        <v>276</v>
      </c>
      <c r="G134" s="101" t="s">
        <v>277</v>
      </c>
      <c r="H134" s="10"/>
      <c r="I134" s="10" t="s">
        <v>63</v>
      </c>
      <c r="J134" s="87"/>
      <c r="K134" s="10" t="s">
        <v>212</v>
      </c>
      <c r="L134" s="10" t="s">
        <v>102</v>
      </c>
      <c r="M134" s="10" t="s">
        <v>76</v>
      </c>
      <c r="N134" s="13">
        <v>850143009</v>
      </c>
      <c r="O134" s="18">
        <v>46203</v>
      </c>
      <c r="P134" s="16">
        <v>46233</v>
      </c>
      <c r="Q134" s="16"/>
      <c r="R134" s="11"/>
      <c r="S134" s="10"/>
      <c r="T134" s="10"/>
      <c r="U134" s="10"/>
      <c r="V134" s="10"/>
      <c r="W134" s="10"/>
      <c r="X134" s="52"/>
      <c r="Y134" s="49" t="s">
        <v>77</v>
      </c>
      <c r="Z134" s="10">
        <v>21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5"/>
      <c r="AK134" s="15"/>
      <c r="AL134" s="58"/>
      <c r="AM134" s="68" t="s">
        <v>386</v>
      </c>
      <c r="AN134" s="10"/>
      <c r="AO134" s="10"/>
      <c r="AP134" s="10" t="s">
        <v>60</v>
      </c>
      <c r="AQ134" s="10"/>
      <c r="AR134" s="10"/>
      <c r="AS134" s="10"/>
      <c r="AT134" s="10"/>
      <c r="AU134" s="10"/>
      <c r="AV134" s="10"/>
      <c r="AW134" s="10"/>
      <c r="AX134" s="10" t="s">
        <v>60</v>
      </c>
      <c r="AY134" s="10" t="s">
        <v>60</v>
      </c>
      <c r="AZ134" s="10"/>
      <c r="BA134" s="10"/>
    </row>
    <row r="135" spans="1:53">
      <c r="A135" s="10" t="s">
        <v>84</v>
      </c>
      <c r="B135" s="10" t="s">
        <v>94</v>
      </c>
      <c r="C135" s="10" t="s">
        <v>85</v>
      </c>
      <c r="D135" s="11" t="s">
        <v>387</v>
      </c>
      <c r="E135" s="11" t="s">
        <v>388</v>
      </c>
      <c r="F135" s="10"/>
      <c r="G135" s="5" t="e">
        <f>VLOOKUP(N135,#REF!,3,FALSE)</f>
        <v>#REF!</v>
      </c>
      <c r="H135" s="10"/>
      <c r="I135" s="10" t="s">
        <v>63</v>
      </c>
      <c r="J135" s="89"/>
      <c r="K135" s="10" t="s">
        <v>64</v>
      </c>
      <c r="L135" s="10" t="s">
        <v>102</v>
      </c>
      <c r="M135" s="10" t="s">
        <v>76</v>
      </c>
      <c r="N135" s="45" t="s">
        <v>389</v>
      </c>
      <c r="O135" s="18">
        <v>46022</v>
      </c>
      <c r="P135" s="16"/>
      <c r="Q135" s="16"/>
      <c r="R135" s="10"/>
      <c r="S135" s="10"/>
      <c r="T135" s="10"/>
      <c r="U135" s="10"/>
      <c r="V135" s="10"/>
      <c r="W135" s="10"/>
      <c r="X135" s="52"/>
      <c r="Y135" s="49"/>
      <c r="Z135" s="10"/>
      <c r="AA135" s="95" t="s">
        <v>175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59"/>
      <c r="AM135" s="64"/>
      <c r="AN135" s="10"/>
      <c r="AO135" s="10"/>
      <c r="AP135" s="10"/>
      <c r="AQ135" s="10"/>
      <c r="AR135" s="95" t="s">
        <v>175</v>
      </c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 spans="1:53" hidden="1">
      <c r="A136" s="10" t="s">
        <v>84</v>
      </c>
      <c r="B136" s="10" t="s">
        <v>60</v>
      </c>
      <c r="C136" s="10" t="s">
        <v>95</v>
      </c>
      <c r="D136" s="11" t="s">
        <v>390</v>
      </c>
      <c r="E136" s="11" t="s">
        <v>97</v>
      </c>
      <c r="F136" s="10"/>
      <c r="G136" s="5" t="e">
        <f>VLOOKUP(N136,#REF!,3,FALSE)</f>
        <v>#REF!</v>
      </c>
      <c r="H136" s="10"/>
      <c r="I136" s="10" t="s">
        <v>63</v>
      </c>
      <c r="J136" s="87"/>
      <c r="K136" s="10" t="s">
        <v>212</v>
      </c>
      <c r="L136" s="10" t="s">
        <v>102</v>
      </c>
      <c r="M136" s="10" t="s">
        <v>76</v>
      </c>
      <c r="N136" s="13">
        <v>514278092</v>
      </c>
      <c r="O136" s="18">
        <v>46022</v>
      </c>
      <c r="P136" s="16">
        <v>46149</v>
      </c>
      <c r="Q136" s="16"/>
      <c r="R136" s="18"/>
      <c r="S136" s="10"/>
      <c r="T136" s="10"/>
      <c r="U136" s="10"/>
      <c r="V136" s="10"/>
      <c r="W136" s="10"/>
      <c r="X136" s="52"/>
      <c r="Y136" s="49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59"/>
      <c r="AM136" s="64" t="s">
        <v>379</v>
      </c>
      <c r="AN136" s="10" t="s">
        <v>60</v>
      </c>
      <c r="AO136" s="10"/>
      <c r="AP136" s="10" t="s">
        <v>60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 spans="1:53">
      <c r="A137" s="10" t="s">
        <v>84</v>
      </c>
      <c r="B137" s="10" t="s">
        <v>60</v>
      </c>
      <c r="C137" s="10" t="s">
        <v>85</v>
      </c>
      <c r="D137" s="11" t="s">
        <v>391</v>
      </c>
      <c r="E137" s="11"/>
      <c r="F137" s="10"/>
      <c r="G137" s="5" t="e">
        <f>VLOOKUP(N137,#REF!,3,FALSE)</f>
        <v>#REF!</v>
      </c>
      <c r="H137" s="10"/>
      <c r="I137" s="10" t="s">
        <v>63</v>
      </c>
      <c r="J137" s="89"/>
      <c r="K137" s="10" t="s">
        <v>212</v>
      </c>
      <c r="L137" s="10" t="s">
        <v>102</v>
      </c>
      <c r="M137" s="10" t="s">
        <v>76</v>
      </c>
      <c r="N137" s="13">
        <v>309395317</v>
      </c>
      <c r="O137" s="18">
        <v>46022</v>
      </c>
      <c r="P137" s="16">
        <v>46063</v>
      </c>
      <c r="Q137" s="16"/>
      <c r="R137" s="31"/>
      <c r="S137" s="10"/>
      <c r="T137" s="10"/>
      <c r="U137" s="10"/>
      <c r="V137" s="10"/>
      <c r="W137" s="10"/>
      <c r="X137" s="52"/>
      <c r="Y137" s="49" t="s">
        <v>77</v>
      </c>
      <c r="Z137" s="15">
        <v>21</v>
      </c>
      <c r="AA137" s="10" t="s">
        <v>78</v>
      </c>
      <c r="AB137" s="10"/>
      <c r="AC137" s="10"/>
      <c r="AD137" s="10"/>
      <c r="AE137" s="15"/>
      <c r="AF137" s="15"/>
      <c r="AG137" s="15"/>
      <c r="AH137" s="15"/>
      <c r="AI137" s="15"/>
      <c r="AJ137" s="15"/>
      <c r="AK137" s="15"/>
      <c r="AL137" s="59"/>
      <c r="AM137" s="64" t="s">
        <v>392</v>
      </c>
      <c r="AN137" s="10" t="s">
        <v>60</v>
      </c>
      <c r="AO137" s="10"/>
      <c r="AP137" s="10" t="s">
        <v>60</v>
      </c>
      <c r="AQ137" s="10"/>
      <c r="AR137" s="95" t="s">
        <v>175</v>
      </c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 spans="1:53" hidden="1">
      <c r="A138" s="10" t="s">
        <v>84</v>
      </c>
      <c r="B138" s="10" t="s">
        <v>95</v>
      </c>
      <c r="C138" s="10" t="s">
        <v>95</v>
      </c>
      <c r="D138" s="11" t="s">
        <v>393</v>
      </c>
      <c r="E138" s="11" t="s">
        <v>97</v>
      </c>
      <c r="F138" s="10"/>
      <c r="G138" s="5" t="e">
        <f>VLOOKUP(N138,#REF!,3,FALSE)</f>
        <v>#REF!</v>
      </c>
      <c r="H138" s="10"/>
      <c r="I138" s="10" t="s">
        <v>74</v>
      </c>
      <c r="J138" s="87" t="s">
        <v>394</v>
      </c>
      <c r="K138" s="10" t="s">
        <v>212</v>
      </c>
      <c r="L138" s="10" t="s">
        <v>102</v>
      </c>
      <c r="M138" s="10" t="s">
        <v>76</v>
      </c>
      <c r="N138" s="13">
        <v>340716141</v>
      </c>
      <c r="O138" s="18">
        <v>46022</v>
      </c>
      <c r="P138" s="16">
        <v>46147</v>
      </c>
      <c r="Q138" s="16"/>
      <c r="R138" s="18"/>
      <c r="S138" s="10"/>
      <c r="T138" s="10"/>
      <c r="U138" s="10"/>
      <c r="V138" s="10"/>
      <c r="W138" s="10"/>
      <c r="X138" s="52"/>
      <c r="Y138" s="49"/>
      <c r="Z138" s="10" t="s">
        <v>378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58"/>
      <c r="AM138" s="63" t="s">
        <v>108</v>
      </c>
      <c r="AN138" s="10" t="s">
        <v>108</v>
      </c>
      <c r="AO138" s="10"/>
      <c r="AP138" s="10" t="s">
        <v>60</v>
      </c>
      <c r="AQ138" s="10"/>
      <c r="AR138" s="10"/>
      <c r="AS138" s="10"/>
      <c r="AT138" s="11"/>
      <c r="AU138" s="10"/>
      <c r="AV138" s="10"/>
      <c r="AW138" s="10"/>
      <c r="AX138" s="10"/>
      <c r="AY138" s="10"/>
      <c r="AZ138" s="10"/>
      <c r="BA138" s="10"/>
    </row>
    <row r="139" spans="1:53" hidden="1">
      <c r="A139" s="10" t="s">
        <v>58</v>
      </c>
      <c r="B139" s="10" t="s">
        <v>68</v>
      </c>
      <c r="C139" s="10" t="s">
        <v>60</v>
      </c>
      <c r="D139" s="11" t="s">
        <v>395</v>
      </c>
      <c r="E139" s="11" t="s">
        <v>362</v>
      </c>
      <c r="F139" s="10"/>
      <c r="G139" s="5" t="e">
        <f>VLOOKUP(N139,#REF!,3,FALSE)</f>
        <v>#REF!</v>
      </c>
      <c r="H139" s="10"/>
      <c r="I139" s="10" t="s">
        <v>63</v>
      </c>
      <c r="J139" s="87"/>
      <c r="K139" s="10" t="s">
        <v>212</v>
      </c>
      <c r="L139" s="10" t="s">
        <v>102</v>
      </c>
      <c r="M139" s="10" t="s">
        <v>66</v>
      </c>
      <c r="N139" s="13">
        <v>887641413</v>
      </c>
      <c r="O139" s="18">
        <v>46022</v>
      </c>
      <c r="P139" s="16">
        <v>46122</v>
      </c>
      <c r="Q139" s="16"/>
      <c r="R139" s="16"/>
      <c r="S139" s="10"/>
      <c r="T139" s="10"/>
      <c r="U139" s="10"/>
      <c r="V139" s="10"/>
      <c r="W139" s="10"/>
      <c r="X139" s="52"/>
      <c r="Y139" s="49" t="s">
        <v>146</v>
      </c>
      <c r="Z139" s="15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58"/>
      <c r="AM139" s="63" t="s">
        <v>396</v>
      </c>
      <c r="AN139" s="10" t="s">
        <v>60</v>
      </c>
      <c r="AO139" s="10"/>
      <c r="AP139" s="10"/>
      <c r="AQ139" s="10" t="s">
        <v>78</v>
      </c>
      <c r="AR139" s="10"/>
      <c r="AS139" s="10"/>
      <c r="AT139" s="11"/>
      <c r="AU139" s="11"/>
      <c r="AV139" s="10"/>
      <c r="AW139" s="10"/>
      <c r="AX139" s="10" t="s">
        <v>60</v>
      </c>
      <c r="AY139" s="10" t="s">
        <v>60</v>
      </c>
      <c r="AZ139" s="10" t="s">
        <v>60</v>
      </c>
      <c r="BA139" s="10"/>
    </row>
    <row r="140" spans="1:53" hidden="1">
      <c r="A140" s="10" t="s">
        <v>58</v>
      </c>
      <c r="B140" s="10" t="s">
        <v>68</v>
      </c>
      <c r="C140" s="10"/>
      <c r="D140" s="11" t="s">
        <v>397</v>
      </c>
      <c r="E140" s="11" t="s">
        <v>398</v>
      </c>
      <c r="F140" s="10"/>
      <c r="G140" s="5" t="e">
        <f>VLOOKUP(N140,#REF!,3,FALSE)</f>
        <v>#REF!</v>
      </c>
      <c r="H140" s="10"/>
      <c r="I140" s="10" t="s">
        <v>63</v>
      </c>
      <c r="J140" s="87"/>
      <c r="K140" s="10" t="s">
        <v>212</v>
      </c>
      <c r="L140" s="10" t="s">
        <v>102</v>
      </c>
      <c r="M140" s="10" t="s">
        <v>76</v>
      </c>
      <c r="N140" s="13">
        <v>921774253</v>
      </c>
      <c r="O140" s="18">
        <v>46022</v>
      </c>
      <c r="P140" s="16">
        <v>46094</v>
      </c>
      <c r="Q140" s="16"/>
      <c r="R140" s="16"/>
      <c r="S140" s="10"/>
      <c r="T140" s="10"/>
      <c r="U140" s="10"/>
      <c r="V140" s="10"/>
      <c r="W140" s="10"/>
      <c r="X140" s="52"/>
      <c r="Y140" s="49"/>
      <c r="Z140" s="15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58"/>
      <c r="AM140" s="63" t="s">
        <v>197</v>
      </c>
      <c r="AN140" s="10"/>
      <c r="AO140" s="10"/>
      <c r="AP140" s="10" t="s">
        <v>60</v>
      </c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 spans="1:53" hidden="1">
      <c r="A141" s="10" t="s">
        <v>58</v>
      </c>
      <c r="B141" s="10" t="s">
        <v>68</v>
      </c>
      <c r="C141" s="10"/>
      <c r="D141" s="11" t="s">
        <v>399</v>
      </c>
      <c r="E141" s="11" t="s">
        <v>398</v>
      </c>
      <c r="F141" s="10"/>
      <c r="G141" s="5" t="e">
        <f>VLOOKUP(N141,#REF!,3,FALSE)</f>
        <v>#REF!</v>
      </c>
      <c r="H141" s="10"/>
      <c r="I141" s="10" t="s">
        <v>63</v>
      </c>
      <c r="J141" s="87"/>
      <c r="K141" s="10" t="s">
        <v>212</v>
      </c>
      <c r="L141" s="10" t="s">
        <v>102</v>
      </c>
      <c r="M141" s="10" t="s">
        <v>76</v>
      </c>
      <c r="N141" s="13">
        <v>885068965</v>
      </c>
      <c r="O141" s="18">
        <v>46022</v>
      </c>
      <c r="P141" s="16">
        <v>46094</v>
      </c>
      <c r="Q141" s="16"/>
      <c r="R141" s="16"/>
      <c r="S141" s="10"/>
      <c r="T141" s="10"/>
      <c r="U141" s="10"/>
      <c r="V141" s="10"/>
      <c r="W141" s="10"/>
      <c r="X141" s="52"/>
      <c r="Y141" s="49"/>
      <c r="Z141" s="15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58"/>
      <c r="AM141" s="63" t="s">
        <v>197</v>
      </c>
      <c r="AN141" s="10"/>
      <c r="AO141" s="10"/>
      <c r="AP141" s="10" t="s">
        <v>60</v>
      </c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 spans="1:53" hidden="1">
      <c r="A142" s="10" t="s">
        <v>84</v>
      </c>
      <c r="B142" s="10" t="s">
        <v>60</v>
      </c>
      <c r="C142" s="10" t="s">
        <v>400</v>
      </c>
      <c r="D142" s="11" t="s">
        <v>401</v>
      </c>
      <c r="E142" s="11"/>
      <c r="F142" s="10"/>
      <c r="G142" s="5" t="e">
        <f>VLOOKUP(N142,#REF!,3,FALSE)</f>
        <v>#REF!</v>
      </c>
      <c r="H142" s="10"/>
      <c r="I142" s="10" t="s">
        <v>142</v>
      </c>
      <c r="J142" s="87"/>
      <c r="K142" s="10" t="s">
        <v>212</v>
      </c>
      <c r="L142" s="10" t="s">
        <v>102</v>
      </c>
      <c r="M142" s="10" t="s">
        <v>76</v>
      </c>
      <c r="N142" s="13">
        <v>812906089</v>
      </c>
      <c r="O142" s="18">
        <v>46022</v>
      </c>
      <c r="P142" s="16"/>
      <c r="Q142" s="16"/>
      <c r="R142" s="10"/>
      <c r="S142" s="10"/>
      <c r="T142" s="10"/>
      <c r="U142" s="10"/>
      <c r="V142" s="10"/>
      <c r="W142" s="10"/>
      <c r="X142" s="52"/>
      <c r="Y142" s="49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59"/>
      <c r="AM142" s="63" t="s">
        <v>402</v>
      </c>
      <c r="AN142" s="10"/>
      <c r="AO142" s="10"/>
      <c r="AP142" s="10" t="s">
        <v>60</v>
      </c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 spans="1:53" hidden="1">
      <c r="A143" s="10" t="s">
        <v>58</v>
      </c>
      <c r="B143" s="10" t="s">
        <v>68</v>
      </c>
      <c r="C143" s="10"/>
      <c r="D143" s="11" t="s">
        <v>403</v>
      </c>
      <c r="E143" s="11" t="s">
        <v>398</v>
      </c>
      <c r="F143" s="10"/>
      <c r="G143" s="5" t="e">
        <f>VLOOKUP(N143,#REF!,3,FALSE)</f>
        <v>#REF!</v>
      </c>
      <c r="H143" s="10" t="s">
        <v>404</v>
      </c>
      <c r="I143" s="10" t="s">
        <v>63</v>
      </c>
      <c r="J143" s="87"/>
      <c r="K143" s="10" t="s">
        <v>212</v>
      </c>
      <c r="L143" s="10" t="s">
        <v>102</v>
      </c>
      <c r="M143" s="10" t="s">
        <v>76</v>
      </c>
      <c r="N143" s="13">
        <v>518159389</v>
      </c>
      <c r="O143" s="18">
        <v>46022</v>
      </c>
      <c r="P143" s="16">
        <v>46094</v>
      </c>
      <c r="Q143" s="16"/>
      <c r="R143" s="16"/>
      <c r="S143" s="10"/>
      <c r="T143" s="10"/>
      <c r="U143" s="10"/>
      <c r="V143" s="10"/>
      <c r="W143" s="10"/>
      <c r="X143" s="52"/>
      <c r="Y143" s="49"/>
      <c r="Z143" s="15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58"/>
      <c r="AM143" s="63" t="s">
        <v>405</v>
      </c>
      <c r="AN143" s="10"/>
      <c r="AO143" s="10"/>
      <c r="AP143" s="10" t="s">
        <v>60</v>
      </c>
      <c r="AQ143" s="10"/>
      <c r="AR143" s="10"/>
      <c r="AS143" s="10"/>
      <c r="AT143" s="11"/>
      <c r="AU143" s="10"/>
      <c r="AV143" s="10"/>
      <c r="AW143" s="10"/>
      <c r="AX143" s="10"/>
      <c r="AY143" s="10"/>
      <c r="AZ143" s="10"/>
      <c r="BA143" s="10"/>
    </row>
    <row r="144" spans="1:53" hidden="1">
      <c r="A144" s="10" t="s">
        <v>84</v>
      </c>
      <c r="B144" s="10" t="s">
        <v>60</v>
      </c>
      <c r="C144" s="10" t="s">
        <v>95</v>
      </c>
      <c r="D144" s="11" t="s">
        <v>406</v>
      </c>
      <c r="E144" s="11" t="s">
        <v>97</v>
      </c>
      <c r="F144" s="10"/>
      <c r="G144" s="5" t="e">
        <f>VLOOKUP(N144,#REF!,3,FALSE)</f>
        <v>#REF!</v>
      </c>
      <c r="H144" s="10"/>
      <c r="I144" s="10" t="s">
        <v>74</v>
      </c>
      <c r="J144" s="87"/>
      <c r="K144" s="10" t="s">
        <v>212</v>
      </c>
      <c r="L144" s="10" t="s">
        <v>102</v>
      </c>
      <c r="M144" s="10" t="s">
        <v>76</v>
      </c>
      <c r="N144" s="13">
        <v>353036007</v>
      </c>
      <c r="O144" s="18">
        <v>46022</v>
      </c>
      <c r="P144" s="16">
        <v>46124</v>
      </c>
      <c r="Q144" s="16"/>
      <c r="R144" s="18"/>
      <c r="S144" s="10"/>
      <c r="T144" s="10"/>
      <c r="U144" s="10"/>
      <c r="V144" s="10"/>
      <c r="W144" s="10"/>
      <c r="X144" s="52"/>
      <c r="Y144" s="49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59"/>
      <c r="AM144" s="64" t="s">
        <v>379</v>
      </c>
      <c r="AN144" s="10" t="s">
        <v>60</v>
      </c>
      <c r="AO144" s="10"/>
      <c r="AP144" s="10" t="s">
        <v>60</v>
      </c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 spans="1:53" hidden="1">
      <c r="A145" s="10" t="s">
        <v>84</v>
      </c>
      <c r="B145" s="10" t="s">
        <v>60</v>
      </c>
      <c r="C145" s="10" t="s">
        <v>95</v>
      </c>
      <c r="D145" s="11" t="s">
        <v>407</v>
      </c>
      <c r="E145" s="11" t="s">
        <v>97</v>
      </c>
      <c r="F145" s="10"/>
      <c r="G145" s="5" t="e">
        <f>VLOOKUP(N145,#REF!,3,FALSE)</f>
        <v>#REF!</v>
      </c>
      <c r="H145" s="10" t="s">
        <v>268</v>
      </c>
      <c r="I145" s="10" t="s">
        <v>74</v>
      </c>
      <c r="J145" s="87"/>
      <c r="K145" s="10" t="s">
        <v>212</v>
      </c>
      <c r="L145" s="10" t="s">
        <v>102</v>
      </c>
      <c r="M145" s="10" t="s">
        <v>76</v>
      </c>
      <c r="N145" s="13">
        <v>404175937</v>
      </c>
      <c r="O145" s="18">
        <v>46022</v>
      </c>
      <c r="P145" s="16">
        <v>46149</v>
      </c>
      <c r="Q145" s="16"/>
      <c r="R145" s="18"/>
      <c r="S145" s="10"/>
      <c r="T145" s="10"/>
      <c r="U145" s="10"/>
      <c r="V145" s="10"/>
      <c r="W145" s="10"/>
      <c r="X145" s="52"/>
      <c r="Y145" s="49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59"/>
      <c r="AM145" s="64" t="s">
        <v>379</v>
      </c>
      <c r="AN145" s="10" t="s">
        <v>60</v>
      </c>
      <c r="AO145" s="10"/>
      <c r="AP145" s="10" t="s">
        <v>60</v>
      </c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 spans="1:53" hidden="1">
      <c r="A146" s="10" t="s">
        <v>58</v>
      </c>
      <c r="B146" s="10" t="s">
        <v>68</v>
      </c>
      <c r="C146" s="10" t="s">
        <v>60</v>
      </c>
      <c r="D146" s="11" t="s">
        <v>408</v>
      </c>
      <c r="E146" s="11" t="s">
        <v>409</v>
      </c>
      <c r="F146" s="10"/>
      <c r="G146" s="5" t="e">
        <f>VLOOKUP(N146,#REF!,3,FALSE)</f>
        <v>#REF!</v>
      </c>
      <c r="H146" s="10" t="s">
        <v>268</v>
      </c>
      <c r="I146" s="10" t="s">
        <v>63</v>
      </c>
      <c r="J146" s="87"/>
      <c r="K146" s="10" t="s">
        <v>212</v>
      </c>
      <c r="L146" s="10" t="s">
        <v>102</v>
      </c>
      <c r="M146" s="10" t="s">
        <v>76</v>
      </c>
      <c r="N146" s="13">
        <v>814771770</v>
      </c>
      <c r="O146" s="18">
        <v>46022</v>
      </c>
      <c r="P146" s="16">
        <v>46129</v>
      </c>
      <c r="Q146" s="16"/>
      <c r="R146" s="16"/>
      <c r="S146" s="10"/>
      <c r="T146" s="10"/>
      <c r="U146" s="10"/>
      <c r="V146" s="10"/>
      <c r="W146" s="10"/>
      <c r="X146" s="52"/>
      <c r="Y146" s="49" t="s">
        <v>77</v>
      </c>
      <c r="Z146" s="15">
        <v>21</v>
      </c>
      <c r="AA146" s="10" t="s">
        <v>112</v>
      </c>
      <c r="AB146" s="10"/>
      <c r="AC146" s="15"/>
      <c r="AD146" s="10"/>
      <c r="AE146" s="15"/>
      <c r="AF146" s="10"/>
      <c r="AG146" s="10"/>
      <c r="AH146" s="11"/>
      <c r="AI146" s="11"/>
      <c r="AJ146" s="10"/>
      <c r="AK146" s="10"/>
      <c r="AL146" s="58"/>
      <c r="AM146" s="63"/>
      <c r="AN146" s="10"/>
      <c r="AO146" s="10"/>
      <c r="AP146" s="10" t="s">
        <v>60</v>
      </c>
      <c r="AQ146" s="10" t="s">
        <v>78</v>
      </c>
      <c r="AR146" s="10"/>
      <c r="AS146" s="10"/>
      <c r="AT146" s="11"/>
      <c r="AU146" s="11"/>
      <c r="AV146" s="10"/>
      <c r="AW146" s="10"/>
      <c r="AX146" s="10"/>
      <c r="AY146" s="10"/>
      <c r="AZ146" s="10" t="s">
        <v>60</v>
      </c>
      <c r="BA146" s="10"/>
    </row>
    <row r="147" spans="1:53" hidden="1">
      <c r="A147" s="10" t="s">
        <v>84</v>
      </c>
      <c r="B147" s="10" t="s">
        <v>94</v>
      </c>
      <c r="C147" s="10" t="s">
        <v>95</v>
      </c>
      <c r="D147" s="11" t="s">
        <v>410</v>
      </c>
      <c r="E147" s="11" t="s">
        <v>97</v>
      </c>
      <c r="F147" s="10" t="s">
        <v>411</v>
      </c>
      <c r="G147" s="101" t="s">
        <v>412</v>
      </c>
      <c r="H147" s="46" t="s">
        <v>413</v>
      </c>
      <c r="I147" s="10" t="s">
        <v>63</v>
      </c>
      <c r="J147" s="89"/>
      <c r="K147" s="10" t="s">
        <v>64</v>
      </c>
      <c r="L147" s="10" t="s">
        <v>102</v>
      </c>
      <c r="M147" s="10" t="s">
        <v>76</v>
      </c>
      <c r="N147" s="13">
        <v>412111205</v>
      </c>
      <c r="O147" s="18">
        <v>46022</v>
      </c>
      <c r="P147" s="16">
        <v>46142</v>
      </c>
      <c r="Q147" s="16"/>
      <c r="R147" s="18"/>
      <c r="S147" s="10"/>
      <c r="T147" s="10"/>
      <c r="U147" s="10"/>
      <c r="V147" s="10"/>
      <c r="W147" s="10"/>
      <c r="X147" s="52"/>
      <c r="Y147" s="49"/>
      <c r="Z147" s="15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58"/>
      <c r="AM147" s="63"/>
      <c r="AN147" s="10"/>
      <c r="AO147" s="10"/>
      <c r="AP147" s="10"/>
      <c r="AQ147" s="10"/>
      <c r="AR147" s="30"/>
      <c r="AS147" s="30"/>
      <c r="AT147" s="30"/>
      <c r="AU147" s="30"/>
      <c r="AV147" s="10"/>
      <c r="AW147" s="10"/>
      <c r="AX147" s="10"/>
      <c r="AY147" s="10"/>
      <c r="AZ147" s="10"/>
      <c r="BA147" s="10"/>
    </row>
    <row r="148" spans="1:53">
      <c r="A148" s="10" t="s">
        <v>84</v>
      </c>
      <c r="B148" s="10" t="s">
        <v>94</v>
      </c>
      <c r="C148" s="10" t="s">
        <v>85</v>
      </c>
      <c r="D148" s="23" t="s">
        <v>414</v>
      </c>
      <c r="E148" s="11"/>
      <c r="F148" s="10"/>
      <c r="G148" s="5" t="e">
        <f>VLOOKUP(N148,#REF!,3,FALSE)</f>
        <v>#REF!</v>
      </c>
      <c r="H148" s="10"/>
      <c r="I148" s="10" t="s">
        <v>63</v>
      </c>
      <c r="J148" s="72"/>
      <c r="K148" s="10" t="s">
        <v>64</v>
      </c>
      <c r="L148" s="10" t="s">
        <v>102</v>
      </c>
      <c r="M148" s="10" t="s">
        <v>66</v>
      </c>
      <c r="N148" s="13">
        <v>442901971</v>
      </c>
      <c r="O148" s="18">
        <v>46022</v>
      </c>
      <c r="P148" s="16">
        <v>46098</v>
      </c>
      <c r="Q148" s="16"/>
      <c r="R148" s="41"/>
      <c r="S148" s="10"/>
      <c r="T148" s="10"/>
      <c r="U148" s="10"/>
      <c r="V148" s="10"/>
      <c r="W148" s="10"/>
      <c r="X148" s="52"/>
      <c r="Y148" s="49"/>
      <c r="Z148" s="15"/>
      <c r="AA148" s="10" t="s">
        <v>78</v>
      </c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58"/>
      <c r="AM148" s="63"/>
      <c r="AN148" s="10"/>
      <c r="AO148" s="10"/>
      <c r="AP148" s="10"/>
      <c r="AQ148" s="10"/>
      <c r="AR148" s="104" t="s">
        <v>184</v>
      </c>
      <c r="AS148" s="30"/>
      <c r="AT148" s="30"/>
      <c r="AU148" s="30"/>
      <c r="AV148" s="10"/>
      <c r="AW148" s="10"/>
      <c r="AX148" s="10"/>
      <c r="AY148" s="10"/>
      <c r="AZ148" s="15" t="s">
        <v>185</v>
      </c>
      <c r="BA148" s="10"/>
    </row>
    <row r="149" spans="1:53" hidden="1">
      <c r="A149" s="10" t="s">
        <v>58</v>
      </c>
      <c r="B149" s="10" t="s">
        <v>68</v>
      </c>
      <c r="C149" s="10" t="s">
        <v>60</v>
      </c>
      <c r="D149" s="11" t="s">
        <v>415</v>
      </c>
      <c r="E149" s="11" t="s">
        <v>416</v>
      </c>
      <c r="F149" s="10"/>
      <c r="G149" s="5" t="e">
        <f>VLOOKUP(N149,#REF!,3,FALSE)</f>
        <v>#REF!</v>
      </c>
      <c r="H149" s="10"/>
      <c r="I149" s="10" t="s">
        <v>63</v>
      </c>
      <c r="J149" s="87"/>
      <c r="K149" s="10" t="s">
        <v>212</v>
      </c>
      <c r="L149" s="10" t="s">
        <v>102</v>
      </c>
      <c r="M149" s="10" t="s">
        <v>66</v>
      </c>
      <c r="N149" s="19">
        <v>984134205</v>
      </c>
      <c r="O149" s="18">
        <v>46022</v>
      </c>
      <c r="P149" s="16">
        <v>46115</v>
      </c>
      <c r="Q149" s="16"/>
      <c r="R149" s="16"/>
      <c r="S149" s="10"/>
      <c r="T149" s="10"/>
      <c r="U149" s="10"/>
      <c r="V149" s="10"/>
      <c r="W149" s="10"/>
      <c r="X149" s="52"/>
      <c r="Y149" s="49" t="s">
        <v>67</v>
      </c>
      <c r="Z149" s="15">
        <v>21</v>
      </c>
      <c r="AA149" s="92"/>
      <c r="AB149" s="92"/>
      <c r="AC149" s="10"/>
      <c r="AD149" s="92"/>
      <c r="AE149" s="92"/>
      <c r="AF149" s="10"/>
      <c r="AG149" s="92"/>
      <c r="AH149" s="92"/>
      <c r="AI149" s="10"/>
      <c r="AJ149" s="92"/>
      <c r="AK149" s="92"/>
      <c r="AL149" s="58"/>
      <c r="AM149" s="63" t="s">
        <v>79</v>
      </c>
      <c r="AN149" s="10"/>
      <c r="AO149" s="10"/>
      <c r="AP149" s="10" t="s">
        <v>60</v>
      </c>
      <c r="AQ149" s="10" t="s">
        <v>60</v>
      </c>
      <c r="AR149" s="10"/>
      <c r="AS149" s="10"/>
      <c r="AT149" s="11"/>
      <c r="AU149" s="11"/>
      <c r="AV149" s="10"/>
      <c r="AW149" s="10"/>
      <c r="AX149" s="10" t="s">
        <v>60</v>
      </c>
      <c r="AY149" s="10" t="s">
        <v>60</v>
      </c>
      <c r="AZ149" s="10" t="s">
        <v>60</v>
      </c>
      <c r="BA149" s="10"/>
    </row>
    <row r="150" spans="1:53" hidden="1">
      <c r="A150" s="10" t="s">
        <v>84</v>
      </c>
      <c r="B150" s="10" t="s">
        <v>95</v>
      </c>
      <c r="C150" s="10" t="s">
        <v>95</v>
      </c>
      <c r="D150" s="11" t="s">
        <v>417</v>
      </c>
      <c r="E150" s="11" t="s">
        <v>385</v>
      </c>
      <c r="F150" s="10" t="s">
        <v>276</v>
      </c>
      <c r="G150" s="101" t="s">
        <v>277</v>
      </c>
      <c r="H150" s="10"/>
      <c r="I150" s="10" t="s">
        <v>142</v>
      </c>
      <c r="J150" s="87"/>
      <c r="K150" s="10" t="s">
        <v>212</v>
      </c>
      <c r="L150" s="10" t="s">
        <v>418</v>
      </c>
      <c r="M150" s="10" t="s">
        <v>76</v>
      </c>
      <c r="N150" s="13">
        <v>904974649</v>
      </c>
      <c r="O150" s="18">
        <v>46022</v>
      </c>
      <c r="P150" s="16">
        <v>46160</v>
      </c>
      <c r="Q150" s="16"/>
      <c r="R150" s="18"/>
      <c r="S150" s="10"/>
      <c r="T150" s="10"/>
      <c r="U150" s="10"/>
      <c r="V150" s="10"/>
      <c r="W150" s="10"/>
      <c r="X150" s="52"/>
      <c r="Y150" s="49"/>
      <c r="Z150" s="10" t="s">
        <v>378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58"/>
      <c r="AM150" s="63"/>
      <c r="AN150" s="10"/>
      <c r="AO150" s="10"/>
      <c r="AP150" s="10" t="s">
        <v>60</v>
      </c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 spans="1:53" hidden="1">
      <c r="A151" s="10" t="s">
        <v>84</v>
      </c>
      <c r="B151" s="10" t="s">
        <v>95</v>
      </c>
      <c r="C151" s="10" t="s">
        <v>95</v>
      </c>
      <c r="D151" s="11" t="s">
        <v>419</v>
      </c>
      <c r="E151" s="11" t="s">
        <v>385</v>
      </c>
      <c r="F151" s="10" t="s">
        <v>276</v>
      </c>
      <c r="G151" s="101" t="s">
        <v>277</v>
      </c>
      <c r="H151" s="10"/>
      <c r="I151" s="10" t="s">
        <v>142</v>
      </c>
      <c r="J151" s="87"/>
      <c r="K151" s="10" t="s">
        <v>212</v>
      </c>
      <c r="L151" s="10" t="s">
        <v>418</v>
      </c>
      <c r="M151" s="10" t="s">
        <v>76</v>
      </c>
      <c r="N151" s="13">
        <v>898306790</v>
      </c>
      <c r="O151" s="18">
        <v>46022</v>
      </c>
      <c r="P151" s="16">
        <v>46157</v>
      </c>
      <c r="Q151" s="16"/>
      <c r="R151" s="18"/>
      <c r="S151" s="10"/>
      <c r="T151" s="10"/>
      <c r="U151" s="10"/>
      <c r="V151" s="10"/>
      <c r="W151" s="10"/>
      <c r="X151" s="52"/>
      <c r="Y151" s="49"/>
      <c r="Z151" s="10" t="s">
        <v>378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58"/>
      <c r="AM151" s="63"/>
      <c r="AN151" s="10"/>
      <c r="AO151" s="10"/>
      <c r="AP151" s="10" t="s">
        <v>60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 spans="1:53" hidden="1">
      <c r="A152" s="10" t="s">
        <v>58</v>
      </c>
      <c r="B152" s="10" t="s">
        <v>59</v>
      </c>
      <c r="C152" s="10" t="s">
        <v>60</v>
      </c>
      <c r="D152" s="11" t="s">
        <v>420</v>
      </c>
      <c r="E152" s="11"/>
      <c r="F152" s="11"/>
      <c r="G152" s="5"/>
      <c r="H152" s="11" t="s">
        <v>421</v>
      </c>
      <c r="I152" s="10"/>
      <c r="J152" s="73" t="s">
        <v>114</v>
      </c>
      <c r="K152" s="10" t="s">
        <v>64</v>
      </c>
      <c r="L152" s="10" t="s">
        <v>65</v>
      </c>
      <c r="M152" s="10" t="s">
        <v>66</v>
      </c>
      <c r="N152" s="13">
        <v>851817874</v>
      </c>
      <c r="O152" s="18">
        <v>46112</v>
      </c>
      <c r="P152" s="16">
        <v>46142</v>
      </c>
      <c r="Q152" s="16"/>
      <c r="R152" s="17"/>
      <c r="S152" s="10"/>
      <c r="T152" s="10"/>
      <c r="U152" s="10"/>
      <c r="V152" s="10"/>
      <c r="W152" s="10"/>
      <c r="X152" s="52"/>
      <c r="Y152" s="49" t="s">
        <v>77</v>
      </c>
      <c r="Z152" s="15">
        <v>24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58"/>
      <c r="AM152" s="63"/>
      <c r="AN152" s="10"/>
      <c r="AO152" s="10"/>
      <c r="AP152" s="10"/>
      <c r="AQ152" s="10"/>
      <c r="AR152" s="10"/>
      <c r="AS152" s="10"/>
      <c r="AT152" s="10"/>
      <c r="AU152" s="10"/>
      <c r="AV152" s="15"/>
      <c r="AW152" s="15"/>
      <c r="AX152" s="10"/>
      <c r="AY152" s="10"/>
      <c r="AZ152" s="10"/>
      <c r="BA152" s="10"/>
    </row>
    <row r="153" spans="1:53" hidden="1">
      <c r="A153" s="10" t="s">
        <v>58</v>
      </c>
      <c r="B153" s="10" t="s">
        <v>59</v>
      </c>
      <c r="C153" s="10" t="s">
        <v>60</v>
      </c>
      <c r="D153" s="11" t="s">
        <v>422</v>
      </c>
      <c r="E153" s="11"/>
      <c r="F153" s="11"/>
      <c r="G153" s="5"/>
      <c r="H153" s="11"/>
      <c r="I153" s="10"/>
      <c r="J153" s="88"/>
      <c r="K153" s="10" t="s">
        <v>64</v>
      </c>
      <c r="L153" s="10" t="s">
        <v>65</v>
      </c>
      <c r="M153" s="10" t="s">
        <v>66</v>
      </c>
      <c r="N153" s="13">
        <v>820233377</v>
      </c>
      <c r="O153" s="18">
        <v>46203</v>
      </c>
      <c r="P153" s="16">
        <v>46233</v>
      </c>
      <c r="Q153" s="16"/>
      <c r="R153" s="17"/>
      <c r="S153" s="10"/>
      <c r="T153" s="10"/>
      <c r="U153" s="10"/>
      <c r="V153" s="10"/>
      <c r="W153" s="10"/>
      <c r="X153" s="52"/>
      <c r="Y153" s="49" t="s">
        <v>77</v>
      </c>
      <c r="Z153" s="15">
        <v>24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58"/>
      <c r="AM153" s="63"/>
      <c r="AN153" s="10"/>
      <c r="AO153" s="10"/>
      <c r="AP153" s="10"/>
      <c r="AQ153" s="10"/>
      <c r="AR153" s="10"/>
      <c r="AS153" s="10"/>
      <c r="AT153" s="10"/>
      <c r="AU153" s="10"/>
      <c r="AV153" s="15"/>
      <c r="AW153" s="15"/>
      <c r="AX153" s="10"/>
      <c r="AY153" s="10"/>
      <c r="AZ153" s="10"/>
      <c r="BA153" s="10"/>
    </row>
    <row r="154" spans="1:53" hidden="1">
      <c r="A154" s="10" t="s">
        <v>58</v>
      </c>
      <c r="B154" s="10" t="s">
        <v>95</v>
      </c>
      <c r="C154" s="10" t="s">
        <v>95</v>
      </c>
      <c r="D154" s="11" t="s">
        <v>423</v>
      </c>
      <c r="E154" s="11"/>
      <c r="F154" s="10" t="s">
        <v>424</v>
      </c>
      <c r="G154" s="101" t="s">
        <v>425</v>
      </c>
      <c r="H154" s="10"/>
      <c r="I154" s="10" t="s">
        <v>74</v>
      </c>
      <c r="J154" s="87"/>
      <c r="K154" s="10" t="s">
        <v>75</v>
      </c>
      <c r="L154" s="10" t="s">
        <v>82</v>
      </c>
      <c r="M154" s="10" t="s">
        <v>66</v>
      </c>
      <c r="N154" s="13">
        <v>803501048</v>
      </c>
      <c r="O154" s="18">
        <v>46022</v>
      </c>
      <c r="P154" s="16">
        <v>46155</v>
      </c>
      <c r="Q154" s="16"/>
      <c r="R154" s="18"/>
      <c r="S154" s="10"/>
      <c r="T154" s="10"/>
      <c r="U154" s="10"/>
      <c r="V154" s="10"/>
      <c r="W154" s="10"/>
      <c r="X154" s="52"/>
      <c r="Y154" s="49" t="s">
        <v>77</v>
      </c>
      <c r="Z154" s="15">
        <v>21</v>
      </c>
      <c r="AA154" s="10"/>
      <c r="AB154" s="15"/>
      <c r="AC154" s="15"/>
      <c r="AD154" s="15"/>
      <c r="AE154" s="15"/>
      <c r="AF154" s="15"/>
      <c r="AG154" s="15"/>
      <c r="AH154" s="15"/>
      <c r="AI154" s="10"/>
      <c r="AJ154" s="10"/>
      <c r="AK154" s="10"/>
      <c r="AL154" s="58"/>
      <c r="AM154" s="64" t="s">
        <v>132</v>
      </c>
      <c r="AN154" s="10"/>
      <c r="AO154" s="10"/>
      <c r="AP154" s="10" t="s">
        <v>60</v>
      </c>
      <c r="AQ154" s="10" t="s">
        <v>60</v>
      </c>
      <c r="AR154" s="28"/>
      <c r="AS154" s="28"/>
      <c r="AT154" s="34"/>
      <c r="AU154" s="11"/>
      <c r="AV154" s="10"/>
      <c r="AW154" s="10"/>
      <c r="AX154" s="10"/>
      <c r="AY154" s="10"/>
      <c r="AZ154" s="10" t="s">
        <v>60</v>
      </c>
      <c r="BA154" s="10"/>
    </row>
    <row r="155" spans="1:53" hidden="1">
      <c r="A155" s="10" t="s">
        <v>58</v>
      </c>
      <c r="B155" s="10" t="s">
        <v>59</v>
      </c>
      <c r="C155" s="10" t="s">
        <v>60</v>
      </c>
      <c r="D155" s="11" t="s">
        <v>426</v>
      </c>
      <c r="E155" s="11"/>
      <c r="F155" s="10"/>
      <c r="G155" s="5" t="e">
        <f>VLOOKUP(N155,#REF!,3,FALSE)</f>
        <v>#REF!</v>
      </c>
      <c r="H155" s="10"/>
      <c r="I155" s="10"/>
      <c r="J155" s="87"/>
      <c r="K155" s="10" t="s">
        <v>64</v>
      </c>
      <c r="L155" s="10" t="s">
        <v>102</v>
      </c>
      <c r="M155" s="10" t="s">
        <v>66</v>
      </c>
      <c r="N155" s="13">
        <v>879981801</v>
      </c>
      <c r="O155" s="18">
        <v>46022</v>
      </c>
      <c r="P155" s="16"/>
      <c r="Q155" s="16"/>
      <c r="R155" s="24"/>
      <c r="S155" s="10"/>
      <c r="T155" s="10"/>
      <c r="U155" s="10"/>
      <c r="V155" s="10"/>
      <c r="W155" s="10"/>
      <c r="X155" s="52"/>
      <c r="Y155" s="49" t="s">
        <v>146</v>
      </c>
      <c r="Z155" s="15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58"/>
      <c r="AM155" s="63"/>
      <c r="AN155" s="10"/>
      <c r="AO155" s="10"/>
      <c r="AP155" s="10"/>
      <c r="AQ155" s="10"/>
      <c r="AR155" s="10"/>
      <c r="AS155" s="10"/>
      <c r="AT155" s="10"/>
      <c r="AU155" s="10"/>
      <c r="AV155" s="10"/>
      <c r="AW155" s="15"/>
      <c r="AX155" s="10"/>
      <c r="AY155" s="10"/>
      <c r="AZ155" s="10"/>
      <c r="BA155" s="10"/>
    </row>
    <row r="156" spans="1:53" hidden="1">
      <c r="A156" s="10" t="s">
        <v>58</v>
      </c>
      <c r="B156" s="10" t="s">
        <v>95</v>
      </c>
      <c r="C156" s="10" t="s">
        <v>95</v>
      </c>
      <c r="D156" s="11" t="s">
        <v>427</v>
      </c>
      <c r="E156" s="11"/>
      <c r="F156" s="11" t="s">
        <v>428</v>
      </c>
      <c r="G156" s="101" t="s">
        <v>429</v>
      </c>
      <c r="H156" s="11"/>
      <c r="I156" s="10" t="s">
        <v>63</v>
      </c>
      <c r="J156" s="87"/>
      <c r="K156" s="10" t="s">
        <v>75</v>
      </c>
      <c r="L156" s="10" t="s">
        <v>65</v>
      </c>
      <c r="M156" s="10" t="s">
        <v>76</v>
      </c>
      <c r="N156" s="13">
        <v>882249253</v>
      </c>
      <c r="O156" s="18">
        <v>46022</v>
      </c>
      <c r="P156" s="16">
        <v>46066</v>
      </c>
      <c r="Q156" s="16"/>
      <c r="R156" s="18"/>
      <c r="S156" s="10"/>
      <c r="T156" s="10"/>
      <c r="U156" s="10"/>
      <c r="V156" s="10"/>
      <c r="W156" s="10"/>
      <c r="X156" s="52"/>
      <c r="Y156" s="49" t="s">
        <v>77</v>
      </c>
      <c r="Z156" s="15">
        <v>24</v>
      </c>
      <c r="AA156" s="10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59"/>
      <c r="AM156" s="64" t="s">
        <v>132</v>
      </c>
      <c r="AN156" s="10"/>
      <c r="AO156" s="10"/>
      <c r="AP156" s="10" t="s">
        <v>60</v>
      </c>
      <c r="AQ156" s="10"/>
      <c r="AR156" s="28"/>
      <c r="AS156" s="28"/>
      <c r="AT156" s="34"/>
      <c r="AU156" s="28"/>
      <c r="AV156" s="10"/>
      <c r="AW156" s="10"/>
      <c r="AX156" s="10"/>
      <c r="AY156" s="10"/>
      <c r="AZ156" s="10"/>
      <c r="BA156" s="10"/>
    </row>
    <row r="157" spans="1:53" hidden="1">
      <c r="A157" s="10" t="s">
        <v>84</v>
      </c>
      <c r="B157" s="10"/>
      <c r="C157" s="10" t="s">
        <v>95</v>
      </c>
      <c r="D157" s="11" t="s">
        <v>430</v>
      </c>
      <c r="E157" s="11" t="s">
        <v>275</v>
      </c>
      <c r="F157" s="10"/>
      <c r="G157" s="5"/>
      <c r="H157" s="10"/>
      <c r="I157" s="10" t="s">
        <v>63</v>
      </c>
      <c r="J157" s="87"/>
      <c r="K157" s="10" t="s">
        <v>182</v>
      </c>
      <c r="L157" s="10" t="s">
        <v>278</v>
      </c>
      <c r="M157" s="10" t="s">
        <v>76</v>
      </c>
      <c r="N157" s="13">
        <v>930518790</v>
      </c>
      <c r="O157" s="18">
        <v>46022</v>
      </c>
      <c r="P157" s="16">
        <v>46084</v>
      </c>
      <c r="Q157" s="16"/>
      <c r="R157" s="18"/>
      <c r="S157" s="10"/>
      <c r="T157" s="10"/>
      <c r="U157" s="10"/>
      <c r="V157" s="10"/>
      <c r="W157" s="10"/>
      <c r="X157" s="52"/>
      <c r="Y157" s="49" t="s">
        <v>67</v>
      </c>
      <c r="Z157" s="15">
        <v>21</v>
      </c>
      <c r="AA157" s="10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59"/>
      <c r="AM157" s="64"/>
      <c r="AN157" s="10"/>
      <c r="AO157" s="10"/>
      <c r="AP157" s="10"/>
      <c r="AQ157" s="10"/>
      <c r="AR157" s="10"/>
      <c r="AS157" s="10"/>
      <c r="AT157" s="11"/>
      <c r="AU157" s="10"/>
      <c r="AV157" s="10"/>
      <c r="AW157" s="10"/>
      <c r="AX157" s="10"/>
      <c r="AY157" s="10"/>
      <c r="AZ157" s="10"/>
      <c r="BA157" s="10"/>
    </row>
    <row r="158" spans="1:53" hidden="1">
      <c r="A158" s="10" t="s">
        <v>58</v>
      </c>
      <c r="B158" s="10" t="s">
        <v>59</v>
      </c>
      <c r="C158" s="10" t="s">
        <v>60</v>
      </c>
      <c r="D158" s="11" t="s">
        <v>431</v>
      </c>
      <c r="E158" s="11"/>
      <c r="F158" s="10"/>
      <c r="G158" s="5" t="e">
        <f>VLOOKUP(N158,#REF!,3,FALSE)</f>
        <v>#REF!</v>
      </c>
      <c r="H158" s="10"/>
      <c r="I158" s="10"/>
      <c r="J158" s="87"/>
      <c r="K158" s="10" t="s">
        <v>64</v>
      </c>
      <c r="L158" s="10" t="s">
        <v>65</v>
      </c>
      <c r="M158" s="10" t="s">
        <v>66</v>
      </c>
      <c r="N158" s="13">
        <v>807948427</v>
      </c>
      <c r="O158" s="18">
        <v>46022</v>
      </c>
      <c r="P158" s="16">
        <v>46081</v>
      </c>
      <c r="Q158" s="16"/>
      <c r="R158" s="21"/>
      <c r="S158" s="10"/>
      <c r="T158" s="10"/>
      <c r="U158" s="10"/>
      <c r="V158" s="10"/>
      <c r="W158" s="10"/>
      <c r="X158" s="52"/>
      <c r="Y158" s="49" t="s">
        <v>146</v>
      </c>
      <c r="Z158" s="15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58"/>
      <c r="AM158" s="63"/>
      <c r="AN158" s="10"/>
      <c r="AO158" s="10"/>
      <c r="AP158" s="10"/>
      <c r="AQ158" s="10"/>
      <c r="AR158" s="10"/>
      <c r="AS158" s="10"/>
      <c r="AT158" s="10"/>
      <c r="AU158" s="10"/>
      <c r="AV158" s="10"/>
      <c r="AW158" s="15"/>
      <c r="AX158" s="10"/>
      <c r="AY158" s="10"/>
      <c r="AZ158" s="10"/>
      <c r="BA158" s="10"/>
    </row>
    <row r="159" spans="1:53">
      <c r="A159" s="10" t="s">
        <v>84</v>
      </c>
      <c r="B159" s="10" t="s">
        <v>94</v>
      </c>
      <c r="C159" s="10" t="s">
        <v>85</v>
      </c>
      <c r="D159" s="11" t="s">
        <v>432</v>
      </c>
      <c r="E159" s="11" t="s">
        <v>433</v>
      </c>
      <c r="F159" s="10"/>
      <c r="G159" s="5" t="e">
        <f>VLOOKUP(N159,#REF!,3,FALSE)</f>
        <v>#REF!</v>
      </c>
      <c r="H159" s="10"/>
      <c r="I159" s="10" t="s">
        <v>63</v>
      </c>
      <c r="J159" s="72" t="s">
        <v>251</v>
      </c>
      <c r="K159" s="10" t="s">
        <v>64</v>
      </c>
      <c r="L159" s="10" t="s">
        <v>82</v>
      </c>
      <c r="M159" s="10" t="s">
        <v>66</v>
      </c>
      <c r="N159" s="13">
        <v>800735888</v>
      </c>
      <c r="O159" s="18">
        <v>46022</v>
      </c>
      <c r="P159" s="16">
        <v>46100</v>
      </c>
      <c r="Q159" s="16"/>
      <c r="R159" s="18"/>
      <c r="S159" s="10"/>
      <c r="T159" s="10"/>
      <c r="U159" s="10"/>
      <c r="V159" s="10"/>
      <c r="W159" s="10"/>
      <c r="X159" s="52"/>
      <c r="Y159" s="49" t="s">
        <v>77</v>
      </c>
      <c r="Z159" s="15">
        <v>21</v>
      </c>
      <c r="AA159" s="10" t="s">
        <v>78</v>
      </c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58"/>
      <c r="AM159" s="63"/>
      <c r="AN159" s="10"/>
      <c r="AO159" s="10"/>
      <c r="AP159" s="10"/>
      <c r="AQ159" s="10"/>
      <c r="AR159" s="106" t="s">
        <v>90</v>
      </c>
      <c r="AS159" s="30"/>
      <c r="AT159" s="30"/>
      <c r="AU159" s="30"/>
      <c r="AV159" s="10"/>
      <c r="AW159" s="10"/>
      <c r="AX159" s="10"/>
      <c r="AY159" s="10"/>
      <c r="AZ159" s="10"/>
      <c r="BA159" s="10"/>
    </row>
    <row r="160" spans="1:53" hidden="1">
      <c r="A160" s="10" t="s">
        <v>58</v>
      </c>
      <c r="B160" s="10" t="s">
        <v>68</v>
      </c>
      <c r="C160" s="10" t="s">
        <v>59</v>
      </c>
      <c r="D160" s="11" t="s">
        <v>434</v>
      </c>
      <c r="E160" s="11"/>
      <c r="F160" s="10"/>
      <c r="G160" s="5" t="e">
        <f>VLOOKUP(N160,#REF!,3,FALSE)</f>
        <v>#REF!</v>
      </c>
      <c r="H160" s="10"/>
      <c r="I160" s="10" t="s">
        <v>74</v>
      </c>
      <c r="J160" s="87"/>
      <c r="K160" s="10" t="s">
        <v>75</v>
      </c>
      <c r="L160" s="10" t="s">
        <v>82</v>
      </c>
      <c r="M160" s="10" t="s">
        <v>66</v>
      </c>
      <c r="N160" s="13">
        <v>830253159</v>
      </c>
      <c r="O160" s="18">
        <v>46326</v>
      </c>
      <c r="P160" s="16">
        <v>46356</v>
      </c>
      <c r="Q160" s="16"/>
      <c r="R160" s="16"/>
      <c r="S160" s="10"/>
      <c r="T160" s="10"/>
      <c r="U160" s="10"/>
      <c r="V160" s="10"/>
      <c r="W160" s="10"/>
      <c r="X160" s="52"/>
      <c r="Y160" s="49" t="s">
        <v>77</v>
      </c>
      <c r="Z160" s="15">
        <v>21</v>
      </c>
      <c r="AA160" s="10" t="s">
        <v>112</v>
      </c>
      <c r="AB160" s="10"/>
      <c r="AC160" s="15"/>
      <c r="AD160" s="10"/>
      <c r="AE160" s="15"/>
      <c r="AF160" s="15"/>
      <c r="AG160" s="10"/>
      <c r="AH160" s="10"/>
      <c r="AI160" s="10"/>
      <c r="AJ160" s="15"/>
      <c r="AK160" s="10"/>
      <c r="AL160" s="58"/>
      <c r="AM160" s="63"/>
      <c r="AN160" s="10"/>
      <c r="AO160" s="10"/>
      <c r="AP160" s="10" t="s">
        <v>78</v>
      </c>
      <c r="AQ160" s="10" t="s">
        <v>60</v>
      </c>
      <c r="AR160" s="10"/>
      <c r="AS160" s="10"/>
      <c r="AT160" s="11"/>
      <c r="AU160" s="11"/>
      <c r="AV160" s="10"/>
      <c r="AW160" s="10"/>
      <c r="AX160" s="10" t="s">
        <v>60</v>
      </c>
      <c r="AY160" s="10" t="s">
        <v>60</v>
      </c>
      <c r="AZ160" s="10" t="s">
        <v>60</v>
      </c>
      <c r="BA160" s="10"/>
    </row>
    <row r="161" spans="1:53" hidden="1">
      <c r="A161" s="10" t="s">
        <v>58</v>
      </c>
      <c r="B161" s="10" t="s">
        <v>68</v>
      </c>
      <c r="C161" s="10" t="s">
        <v>59</v>
      </c>
      <c r="D161" s="11" t="s">
        <v>435</v>
      </c>
      <c r="E161" s="11"/>
      <c r="F161" s="10"/>
      <c r="G161" s="5" t="e">
        <f>VLOOKUP(N161,#REF!,3,FALSE)</f>
        <v>#REF!</v>
      </c>
      <c r="H161" s="10"/>
      <c r="I161" s="10" t="s">
        <v>74</v>
      </c>
      <c r="J161" s="74"/>
      <c r="K161" s="10" t="s">
        <v>75</v>
      </c>
      <c r="L161" s="10" t="s">
        <v>82</v>
      </c>
      <c r="M161" s="10" t="s">
        <v>66</v>
      </c>
      <c r="N161" s="13">
        <v>803742824</v>
      </c>
      <c r="O161" s="18">
        <v>46022</v>
      </c>
      <c r="P161" s="103">
        <v>46080</v>
      </c>
      <c r="Q161" s="16"/>
      <c r="R161" s="16"/>
      <c r="S161" s="10" t="s">
        <v>273</v>
      </c>
      <c r="T161" s="10"/>
      <c r="U161" s="10"/>
      <c r="V161" s="10"/>
      <c r="W161" s="10"/>
      <c r="X161" s="52"/>
      <c r="Y161" s="49" t="s">
        <v>77</v>
      </c>
      <c r="Z161" s="15">
        <v>21</v>
      </c>
      <c r="AA161" s="10" t="s">
        <v>112</v>
      </c>
      <c r="AB161" s="10"/>
      <c r="AC161" s="15"/>
      <c r="AD161" s="10"/>
      <c r="AE161" s="15"/>
      <c r="AF161" s="15"/>
      <c r="AG161" s="15"/>
      <c r="AH161" s="11"/>
      <c r="AI161" s="11"/>
      <c r="AJ161" s="11"/>
      <c r="AK161" s="10"/>
      <c r="AL161" s="58"/>
      <c r="AM161" s="63"/>
      <c r="AN161" s="10"/>
      <c r="AO161" s="10"/>
      <c r="AP161" s="10"/>
      <c r="AQ161" s="10" t="s">
        <v>60</v>
      </c>
      <c r="AR161" s="10"/>
      <c r="AS161" s="10"/>
      <c r="AT161" s="11"/>
      <c r="AU161" s="11"/>
      <c r="AV161" s="10"/>
      <c r="AW161" s="10"/>
      <c r="AX161" s="10" t="s">
        <v>60</v>
      </c>
      <c r="AY161" s="10" t="s">
        <v>60</v>
      </c>
      <c r="AZ161" s="10" t="s">
        <v>78</v>
      </c>
      <c r="BA161" s="10"/>
    </row>
    <row r="162" spans="1:53">
      <c r="A162" s="10" t="s">
        <v>84</v>
      </c>
      <c r="B162" s="10" t="s">
        <v>94</v>
      </c>
      <c r="C162" s="10" t="s">
        <v>85</v>
      </c>
      <c r="D162" s="11" t="s">
        <v>436</v>
      </c>
      <c r="E162" s="11" t="s">
        <v>437</v>
      </c>
      <c r="F162" s="11"/>
      <c r="G162" s="5"/>
      <c r="H162" s="11"/>
      <c r="I162" s="10" t="s">
        <v>63</v>
      </c>
      <c r="J162" s="72"/>
      <c r="K162" s="10"/>
      <c r="L162" s="10" t="s">
        <v>187</v>
      </c>
      <c r="M162" s="10" t="s">
        <v>66</v>
      </c>
      <c r="N162" s="13">
        <v>814495743</v>
      </c>
      <c r="O162" s="18">
        <v>46022</v>
      </c>
      <c r="P162" s="16">
        <v>46122</v>
      </c>
      <c r="Q162" s="16"/>
      <c r="R162" s="18"/>
      <c r="S162" s="10"/>
      <c r="T162" s="10"/>
      <c r="U162" s="10"/>
      <c r="V162" s="10"/>
      <c r="W162" s="10"/>
      <c r="X162" s="52"/>
      <c r="Y162" s="49" t="s">
        <v>77</v>
      </c>
      <c r="Z162" s="15">
        <v>24</v>
      </c>
      <c r="AA162" s="10" t="s">
        <v>78</v>
      </c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58"/>
      <c r="AM162" s="63"/>
      <c r="AN162" s="10"/>
      <c r="AO162" s="10"/>
      <c r="AP162" s="10"/>
      <c r="AQ162" s="10"/>
      <c r="AR162" s="105" t="s">
        <v>271</v>
      </c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 spans="1:53" hidden="1">
      <c r="A163" s="10" t="s">
        <v>58</v>
      </c>
      <c r="B163" s="10" t="s">
        <v>68</v>
      </c>
      <c r="C163" s="10" t="s">
        <v>60</v>
      </c>
      <c r="D163" s="11" t="s">
        <v>438</v>
      </c>
      <c r="E163" s="11"/>
      <c r="F163" s="11"/>
      <c r="G163" s="5"/>
      <c r="H163" s="11"/>
      <c r="I163" s="10" t="s">
        <v>63</v>
      </c>
      <c r="J163" s="87"/>
      <c r="K163" s="10" t="s">
        <v>75</v>
      </c>
      <c r="L163" s="10" t="s">
        <v>65</v>
      </c>
      <c r="M163" s="10" t="s">
        <v>66</v>
      </c>
      <c r="N163" s="13">
        <v>834425100</v>
      </c>
      <c r="O163" s="18">
        <v>46022</v>
      </c>
      <c r="P163" s="16">
        <v>46101</v>
      </c>
      <c r="Q163" s="16"/>
      <c r="R163" s="16"/>
      <c r="S163" s="10"/>
      <c r="T163" s="10"/>
      <c r="U163" s="10"/>
      <c r="V163" s="10"/>
      <c r="W163" s="10"/>
      <c r="X163" s="52"/>
      <c r="Y163" s="49" t="s">
        <v>77</v>
      </c>
      <c r="Z163" s="15">
        <v>24</v>
      </c>
      <c r="AA163" s="10" t="s">
        <v>112</v>
      </c>
      <c r="AB163" s="10"/>
      <c r="AC163" s="15"/>
      <c r="AD163" s="10"/>
      <c r="AE163" s="15"/>
      <c r="AF163" s="10"/>
      <c r="AG163" s="10"/>
      <c r="AH163" s="10"/>
      <c r="AI163" s="10"/>
      <c r="AJ163" s="10"/>
      <c r="AK163" s="10"/>
      <c r="AL163" s="58"/>
      <c r="AM163" s="63" t="s">
        <v>439</v>
      </c>
      <c r="AN163" s="10"/>
      <c r="AO163" s="10"/>
      <c r="AP163" s="10" t="s">
        <v>60</v>
      </c>
      <c r="AQ163" s="10" t="s">
        <v>60</v>
      </c>
      <c r="AR163" s="10"/>
      <c r="AS163" s="10"/>
      <c r="AT163" s="11"/>
      <c r="AU163" s="11"/>
      <c r="AV163" s="10"/>
      <c r="AW163" s="10"/>
      <c r="AX163" s="10" t="s">
        <v>60</v>
      </c>
      <c r="AY163" s="10" t="s">
        <v>60</v>
      </c>
      <c r="AZ163" s="10" t="s">
        <v>60</v>
      </c>
      <c r="BA163" s="10"/>
    </row>
    <row r="164" spans="1:53" hidden="1">
      <c r="A164" s="10" t="s">
        <v>58</v>
      </c>
      <c r="B164" s="10" t="s">
        <v>68</v>
      </c>
      <c r="C164" s="10" t="s">
        <v>60</v>
      </c>
      <c r="D164" s="11" t="s">
        <v>440</v>
      </c>
      <c r="E164" s="11"/>
      <c r="F164" s="10"/>
      <c r="G164" s="5" t="e">
        <f>VLOOKUP(N164,#REF!,3,FALSE)</f>
        <v>#REF!</v>
      </c>
      <c r="H164" s="10"/>
      <c r="I164" s="10" t="s">
        <v>63</v>
      </c>
      <c r="J164" s="87"/>
      <c r="K164" s="10" t="s">
        <v>75</v>
      </c>
      <c r="L164" s="10" t="s">
        <v>120</v>
      </c>
      <c r="M164" s="10" t="s">
        <v>66</v>
      </c>
      <c r="N164" s="19">
        <v>847746906</v>
      </c>
      <c r="O164" s="18">
        <v>46022</v>
      </c>
      <c r="P164" s="16">
        <v>46101</v>
      </c>
      <c r="Q164" s="16"/>
      <c r="R164" s="16"/>
      <c r="S164" s="10"/>
      <c r="T164" s="10"/>
      <c r="U164" s="10"/>
      <c r="V164" s="10"/>
      <c r="W164" s="10"/>
      <c r="X164" s="52"/>
      <c r="Y164" s="49" t="s">
        <v>77</v>
      </c>
      <c r="Z164" s="15">
        <v>21</v>
      </c>
      <c r="AA164" s="10" t="s">
        <v>112</v>
      </c>
      <c r="AB164" s="10"/>
      <c r="AC164" s="10"/>
      <c r="AD164" s="10"/>
      <c r="AE164" s="10"/>
      <c r="AF164" s="10"/>
      <c r="AG164" s="10"/>
      <c r="AH164" s="11"/>
      <c r="AI164" s="10"/>
      <c r="AJ164" s="10"/>
      <c r="AK164" s="10"/>
      <c r="AL164" s="58"/>
      <c r="AM164" s="63"/>
      <c r="AN164" s="10"/>
      <c r="AO164" s="10"/>
      <c r="AP164" s="10" t="s">
        <v>60</v>
      </c>
      <c r="AQ164" s="10" t="s">
        <v>60</v>
      </c>
      <c r="AR164" s="10"/>
      <c r="AS164" s="10"/>
      <c r="AT164" s="11"/>
      <c r="AU164" s="11"/>
      <c r="AV164" s="10"/>
      <c r="AW164" s="10"/>
      <c r="AX164" s="10" t="s">
        <v>60</v>
      </c>
      <c r="AY164" s="10" t="s">
        <v>60</v>
      </c>
      <c r="AZ164" s="10" t="s">
        <v>60</v>
      </c>
      <c r="BA164" s="10"/>
    </row>
    <row r="165" spans="1:53" hidden="1">
      <c r="A165" s="10" t="s">
        <v>58</v>
      </c>
      <c r="B165" s="10" t="s">
        <v>95</v>
      </c>
      <c r="C165" s="10" t="s">
        <v>95</v>
      </c>
      <c r="D165" s="11" t="s">
        <v>441</v>
      </c>
      <c r="E165" s="11"/>
      <c r="F165" s="11" t="s">
        <v>442</v>
      </c>
      <c r="G165" s="101" t="s">
        <v>443</v>
      </c>
      <c r="H165" s="11"/>
      <c r="I165" s="10" t="s">
        <v>74</v>
      </c>
      <c r="J165" s="87"/>
      <c r="K165" s="10" t="s">
        <v>75</v>
      </c>
      <c r="L165" s="10" t="s">
        <v>65</v>
      </c>
      <c r="M165" s="10" t="s">
        <v>66</v>
      </c>
      <c r="N165" s="13">
        <v>829273127</v>
      </c>
      <c r="O165" s="18">
        <v>46112</v>
      </c>
      <c r="P165" s="16">
        <v>46142</v>
      </c>
      <c r="Q165" s="16"/>
      <c r="R165" s="11"/>
      <c r="S165" s="10"/>
      <c r="T165" s="10"/>
      <c r="U165" s="10"/>
      <c r="V165" s="10"/>
      <c r="W165" s="10"/>
      <c r="X165" s="52"/>
      <c r="Y165" s="49" t="s">
        <v>77</v>
      </c>
      <c r="Z165" s="15">
        <v>24</v>
      </c>
      <c r="AA165" s="15"/>
      <c r="AB165" s="15"/>
      <c r="AC165" s="15"/>
      <c r="AD165" s="15"/>
      <c r="AE165" s="15"/>
      <c r="AF165" s="15"/>
      <c r="AG165" s="15"/>
      <c r="AH165" s="15"/>
      <c r="AI165" s="10"/>
      <c r="AJ165" s="10"/>
      <c r="AK165" s="10"/>
      <c r="AL165" s="58"/>
      <c r="AM165" s="64" t="s">
        <v>132</v>
      </c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 spans="1:53" hidden="1">
      <c r="A166" s="10" t="s">
        <v>58</v>
      </c>
      <c r="B166" s="10" t="s">
        <v>59</v>
      </c>
      <c r="C166" s="10" t="s">
        <v>60</v>
      </c>
      <c r="D166" s="11" t="s">
        <v>444</v>
      </c>
      <c r="E166" s="11"/>
      <c r="F166" s="10"/>
      <c r="G166" s="5" t="e">
        <f>VLOOKUP(N166,#REF!,3,FALSE)</f>
        <v>#REF!</v>
      </c>
      <c r="H166" s="10"/>
      <c r="I166" s="10"/>
      <c r="J166" s="88"/>
      <c r="K166" s="10" t="s">
        <v>64</v>
      </c>
      <c r="L166" s="10" t="s">
        <v>120</v>
      </c>
      <c r="M166" s="10" t="s">
        <v>66</v>
      </c>
      <c r="N166" s="13">
        <v>850606104</v>
      </c>
      <c r="O166" s="18">
        <v>46112</v>
      </c>
      <c r="P166" s="16">
        <v>46142</v>
      </c>
      <c r="Q166" s="16"/>
      <c r="R166" s="17"/>
      <c r="S166" s="10"/>
      <c r="T166" s="10"/>
      <c r="U166" s="10"/>
      <c r="V166" s="10"/>
      <c r="W166" s="10"/>
      <c r="X166" s="52"/>
      <c r="Y166" s="49" t="s">
        <v>77</v>
      </c>
      <c r="Z166" s="15">
        <v>21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58"/>
      <c r="AM166" s="63"/>
      <c r="AN166" s="18"/>
      <c r="AO166" s="10"/>
      <c r="AP166" s="10"/>
      <c r="AQ166" s="10"/>
      <c r="AR166" s="26"/>
      <c r="AS166" s="26"/>
      <c r="AT166" s="26"/>
      <c r="AU166" s="26"/>
      <c r="AV166" s="26"/>
      <c r="AW166" s="10"/>
      <c r="AX166" s="10"/>
      <c r="AY166" s="10"/>
      <c r="AZ166" s="10"/>
      <c r="BA166" s="10"/>
    </row>
    <row r="167" spans="1:53" hidden="1">
      <c r="A167" s="10" t="s">
        <v>84</v>
      </c>
      <c r="B167" s="10" t="s">
        <v>68</v>
      </c>
      <c r="C167" s="10" t="s">
        <v>59</v>
      </c>
      <c r="D167" s="11" t="s">
        <v>445</v>
      </c>
      <c r="E167" s="11"/>
      <c r="F167" s="11"/>
      <c r="G167" s="5"/>
      <c r="H167" s="11"/>
      <c r="I167" s="10" t="s">
        <v>74</v>
      </c>
      <c r="J167" s="87"/>
      <c r="K167" s="10" t="s">
        <v>75</v>
      </c>
      <c r="L167" s="10" t="s">
        <v>65</v>
      </c>
      <c r="M167" s="10" t="s">
        <v>66</v>
      </c>
      <c r="N167" s="13">
        <v>903535540</v>
      </c>
      <c r="O167" s="18">
        <v>46022</v>
      </c>
      <c r="P167" s="103">
        <v>46066</v>
      </c>
      <c r="Q167" s="16"/>
      <c r="R167" s="16"/>
      <c r="S167" s="10" t="s">
        <v>273</v>
      </c>
      <c r="T167" s="10"/>
      <c r="U167" s="10"/>
      <c r="V167" s="10"/>
      <c r="W167" s="10"/>
      <c r="X167" s="52"/>
      <c r="Y167" s="49" t="s">
        <v>77</v>
      </c>
      <c r="Z167" s="15">
        <v>24</v>
      </c>
      <c r="AA167" s="10" t="s">
        <v>78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58"/>
      <c r="AM167" s="63" t="s">
        <v>446</v>
      </c>
      <c r="AN167" s="10" t="s">
        <v>79</v>
      </c>
      <c r="AO167" s="10"/>
      <c r="AP167" s="10"/>
      <c r="AQ167" s="10" t="s">
        <v>60</v>
      </c>
      <c r="AR167" s="10"/>
      <c r="AS167" s="10"/>
      <c r="AT167" s="11"/>
      <c r="AU167" s="11"/>
      <c r="AV167" s="10"/>
      <c r="AW167" s="10"/>
      <c r="AX167" s="10" t="s">
        <v>60</v>
      </c>
      <c r="AY167" s="10" t="s">
        <v>60</v>
      </c>
      <c r="AZ167" s="10" t="s">
        <v>60</v>
      </c>
      <c r="BA167" s="10"/>
    </row>
    <row r="168" spans="1:53">
      <c r="A168" s="10" t="s">
        <v>84</v>
      </c>
      <c r="B168" s="10" t="s">
        <v>94</v>
      </c>
      <c r="C168" s="10" t="s">
        <v>85</v>
      </c>
      <c r="D168" s="11" t="s">
        <v>447</v>
      </c>
      <c r="E168" s="11" t="s">
        <v>270</v>
      </c>
      <c r="F168" s="10"/>
      <c r="G168" s="5" t="e">
        <f>VLOOKUP(N168,#REF!,3,FALSE)</f>
        <v>#REF!</v>
      </c>
      <c r="H168" s="10" t="s">
        <v>448</v>
      </c>
      <c r="I168" s="10" t="s">
        <v>63</v>
      </c>
      <c r="J168" s="72"/>
      <c r="K168" s="10" t="s">
        <v>101</v>
      </c>
      <c r="L168" s="10" t="s">
        <v>82</v>
      </c>
      <c r="M168" s="10" t="s">
        <v>66</v>
      </c>
      <c r="N168" s="13">
        <v>970501789</v>
      </c>
      <c r="O168" s="18">
        <v>46022</v>
      </c>
      <c r="P168" s="16">
        <v>46106</v>
      </c>
      <c r="Q168" s="16"/>
      <c r="R168" s="18"/>
      <c r="S168" s="10"/>
      <c r="T168" s="10"/>
      <c r="U168" s="10"/>
      <c r="V168" s="10"/>
      <c r="W168" s="10"/>
      <c r="X168" s="52"/>
      <c r="Y168" s="49"/>
      <c r="Z168" s="15"/>
      <c r="AA168" s="95" t="s">
        <v>449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58"/>
      <c r="AM168" s="63"/>
      <c r="AN168" s="10"/>
      <c r="AO168" s="10"/>
      <c r="AP168" s="10"/>
      <c r="AQ168" s="10"/>
      <c r="AR168" s="95" t="s">
        <v>449</v>
      </c>
      <c r="AS168" s="30"/>
      <c r="AT168" s="30"/>
      <c r="AU168" s="30"/>
      <c r="AV168" s="10"/>
      <c r="AW168" s="10"/>
      <c r="AX168" s="10"/>
      <c r="AY168" s="10"/>
      <c r="AZ168" s="10"/>
      <c r="BA168" s="10"/>
    </row>
    <row r="169" spans="1:53" hidden="1">
      <c r="A169" s="10" t="s">
        <v>58</v>
      </c>
      <c r="B169" s="10" t="s">
        <v>95</v>
      </c>
      <c r="C169" s="10" t="s">
        <v>59</v>
      </c>
      <c r="D169" s="11" t="s">
        <v>450</v>
      </c>
      <c r="E169" s="11"/>
      <c r="F169" s="10"/>
      <c r="G169" s="5" t="e">
        <f>VLOOKUP(N169,#REF!,3,FALSE)</f>
        <v>#REF!</v>
      </c>
      <c r="H169" s="10"/>
      <c r="I169" s="10"/>
      <c r="J169" s="87"/>
      <c r="K169" s="10" t="s">
        <v>64</v>
      </c>
      <c r="L169" s="10" t="s">
        <v>120</v>
      </c>
      <c r="M169" s="10" t="s">
        <v>66</v>
      </c>
      <c r="N169" s="13">
        <v>752124875</v>
      </c>
      <c r="O169" s="18">
        <v>46022</v>
      </c>
      <c r="P169" s="16"/>
      <c r="Q169" s="16"/>
      <c r="R169" s="24"/>
      <c r="S169" s="10"/>
      <c r="T169" s="10"/>
      <c r="U169" s="10"/>
      <c r="V169" s="10"/>
      <c r="W169" s="10"/>
      <c r="X169" s="52"/>
      <c r="Y169" s="49" t="s">
        <v>77</v>
      </c>
      <c r="Z169" s="15">
        <v>21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58"/>
      <c r="AM169" s="63"/>
      <c r="AN169" s="10"/>
      <c r="AO169" s="10"/>
      <c r="AP169" s="10"/>
      <c r="AQ169" s="10"/>
      <c r="AR169" s="10"/>
      <c r="AS169" s="10"/>
      <c r="AT169" s="10"/>
      <c r="AU169" s="10"/>
      <c r="AV169" s="10"/>
      <c r="AW169" s="15"/>
      <c r="AX169" s="10"/>
      <c r="AY169" s="10"/>
      <c r="AZ169" s="10"/>
      <c r="BA169" s="10"/>
    </row>
    <row r="170" spans="1:53" hidden="1">
      <c r="A170" s="10" t="s">
        <v>58</v>
      </c>
      <c r="B170" s="10" t="s">
        <v>59</v>
      </c>
      <c r="C170" s="10" t="s">
        <v>60</v>
      </c>
      <c r="D170" s="11" t="s">
        <v>451</v>
      </c>
      <c r="E170" s="11"/>
      <c r="F170" s="10"/>
      <c r="G170" s="5" t="e">
        <f>VLOOKUP(N170,#REF!,3,FALSE)</f>
        <v>#REF!</v>
      </c>
      <c r="H170" s="10"/>
      <c r="I170" s="10"/>
      <c r="J170" s="87"/>
      <c r="K170" s="10" t="s">
        <v>64</v>
      </c>
      <c r="L170" s="10" t="s">
        <v>187</v>
      </c>
      <c r="M170" s="10" t="s">
        <v>66</v>
      </c>
      <c r="N170" s="13">
        <v>949179105</v>
      </c>
      <c r="O170" s="18">
        <v>46022</v>
      </c>
      <c r="P170" s="16">
        <v>46112</v>
      </c>
      <c r="Q170" s="16"/>
      <c r="R170" s="18"/>
      <c r="S170" s="10"/>
      <c r="T170" s="10"/>
      <c r="U170" s="10"/>
      <c r="V170" s="10"/>
      <c r="W170" s="10"/>
      <c r="X170" s="57"/>
      <c r="Y170" s="49" t="s">
        <v>71</v>
      </c>
      <c r="Z170" s="15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58"/>
      <c r="AM170" s="63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 spans="1:53" hidden="1">
      <c r="A171" s="10" t="s">
        <v>58</v>
      </c>
      <c r="B171" s="10" t="s">
        <v>94</v>
      </c>
      <c r="C171" s="10"/>
      <c r="D171" s="11" t="s">
        <v>452</v>
      </c>
      <c r="E171" s="11"/>
      <c r="F171" s="10"/>
      <c r="G171" s="5" t="e">
        <f>VLOOKUP(N171,#REF!,3,FALSE)</f>
        <v>#REF!</v>
      </c>
      <c r="H171" s="10"/>
      <c r="I171" s="10" t="s">
        <v>63</v>
      </c>
      <c r="J171" s="87"/>
      <c r="K171" s="10" t="s">
        <v>174</v>
      </c>
      <c r="L171" s="10" t="s">
        <v>65</v>
      </c>
      <c r="M171" s="10" t="s">
        <v>66</v>
      </c>
      <c r="N171" s="13">
        <v>822983789</v>
      </c>
      <c r="O171" s="18">
        <v>46022</v>
      </c>
      <c r="P171" s="16"/>
      <c r="Q171" s="16"/>
      <c r="R171" s="10"/>
      <c r="S171" s="10"/>
      <c r="T171" s="10"/>
      <c r="U171" s="10"/>
      <c r="V171" s="10"/>
      <c r="W171" s="10"/>
      <c r="X171" s="52"/>
      <c r="Y171" s="49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59"/>
      <c r="AM171" s="63"/>
      <c r="AN171" s="15"/>
      <c r="AO171" s="10" t="s">
        <v>453</v>
      </c>
      <c r="AP171" s="10" t="s">
        <v>60</v>
      </c>
      <c r="AQ171" s="10"/>
      <c r="AR171" s="30"/>
      <c r="AS171" s="30"/>
      <c r="AT171" s="30"/>
      <c r="AU171" s="30"/>
      <c r="AV171" s="10"/>
      <c r="AW171" s="10"/>
      <c r="AX171" s="10"/>
      <c r="AY171" s="10"/>
      <c r="AZ171" s="10"/>
      <c r="BA171" s="10"/>
    </row>
    <row r="172" spans="1:53" hidden="1">
      <c r="A172" s="10" t="s">
        <v>58</v>
      </c>
      <c r="B172" s="10" t="s">
        <v>68</v>
      </c>
      <c r="C172" s="10" t="s">
        <v>59</v>
      </c>
      <c r="D172" s="11" t="s">
        <v>454</v>
      </c>
      <c r="E172" s="11"/>
      <c r="F172" s="11"/>
      <c r="G172" s="5"/>
      <c r="H172" s="86" t="s">
        <v>455</v>
      </c>
      <c r="I172" s="10" t="s">
        <v>63</v>
      </c>
      <c r="J172" s="87"/>
      <c r="K172" s="10" t="s">
        <v>75</v>
      </c>
      <c r="L172" s="10" t="s">
        <v>65</v>
      </c>
      <c r="M172" s="10" t="s">
        <v>76</v>
      </c>
      <c r="N172" s="19">
        <v>883649220</v>
      </c>
      <c r="O172" s="18">
        <v>46022</v>
      </c>
      <c r="P172" s="16">
        <v>46143</v>
      </c>
      <c r="Q172" s="16"/>
      <c r="R172" s="16"/>
      <c r="S172" s="10"/>
      <c r="T172" s="10"/>
      <c r="U172" s="10"/>
      <c r="V172" s="10"/>
      <c r="W172" s="10"/>
      <c r="X172" s="52"/>
      <c r="Y172" s="49" t="s">
        <v>77</v>
      </c>
      <c r="Z172" s="15">
        <v>24</v>
      </c>
      <c r="AA172" s="10" t="s">
        <v>78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58"/>
      <c r="AM172" s="63" t="s">
        <v>439</v>
      </c>
      <c r="AN172" s="10" t="s">
        <v>79</v>
      </c>
      <c r="AO172" s="10"/>
      <c r="AP172" s="10" t="s">
        <v>60</v>
      </c>
      <c r="AQ172" s="10" t="s">
        <v>60</v>
      </c>
      <c r="AR172" s="10"/>
      <c r="AS172" s="10"/>
      <c r="AT172" s="11"/>
      <c r="AU172" s="10"/>
      <c r="AV172" s="10"/>
      <c r="AW172" s="10"/>
      <c r="AX172" s="10" t="s">
        <v>60</v>
      </c>
      <c r="AY172" s="10" t="s">
        <v>60</v>
      </c>
      <c r="AZ172" s="10" t="s">
        <v>60</v>
      </c>
      <c r="BA172" s="10"/>
    </row>
    <row r="173" spans="1:53" hidden="1">
      <c r="A173" s="10" t="s">
        <v>58</v>
      </c>
      <c r="B173" s="10" t="s">
        <v>95</v>
      </c>
      <c r="C173" s="10" t="s">
        <v>95</v>
      </c>
      <c r="D173" s="11" t="s">
        <v>456</v>
      </c>
      <c r="E173" s="11"/>
      <c r="F173" s="10" t="s">
        <v>457</v>
      </c>
      <c r="G173" s="101" t="s">
        <v>458</v>
      </c>
      <c r="H173" s="10"/>
      <c r="I173" s="10" t="s">
        <v>74</v>
      </c>
      <c r="J173" s="87"/>
      <c r="K173" s="10" t="s">
        <v>64</v>
      </c>
      <c r="L173" s="10" t="s">
        <v>120</v>
      </c>
      <c r="M173" s="10" t="s">
        <v>66</v>
      </c>
      <c r="N173" s="13">
        <v>832723217</v>
      </c>
      <c r="O173" s="18">
        <v>46295</v>
      </c>
      <c r="P173" s="16">
        <v>46325</v>
      </c>
      <c r="Q173" s="16"/>
      <c r="R173" s="11"/>
      <c r="S173" s="10"/>
      <c r="T173" s="10"/>
      <c r="U173" s="10"/>
      <c r="V173" s="10"/>
      <c r="W173" s="10"/>
      <c r="X173" s="52"/>
      <c r="Y173" s="49" t="s">
        <v>77</v>
      </c>
      <c r="Z173" s="15">
        <v>21</v>
      </c>
      <c r="AA173" s="10"/>
      <c r="AB173" s="10"/>
      <c r="AC173" s="10"/>
      <c r="AD173" s="10"/>
      <c r="AE173" s="10"/>
      <c r="AF173" s="10"/>
      <c r="AG173" s="10"/>
      <c r="AH173" s="11"/>
      <c r="AI173" s="10"/>
      <c r="AJ173" s="10"/>
      <c r="AK173" s="10"/>
      <c r="AL173" s="58"/>
      <c r="AM173" s="63" t="s">
        <v>132</v>
      </c>
      <c r="AN173" s="10" t="s">
        <v>197</v>
      </c>
      <c r="AO173" s="10"/>
      <c r="AP173" s="10" t="s">
        <v>60</v>
      </c>
      <c r="AQ173" s="10" t="s">
        <v>60</v>
      </c>
      <c r="AR173" s="10"/>
      <c r="AS173" s="10"/>
      <c r="AT173" s="10"/>
      <c r="AU173" s="10"/>
      <c r="AV173" s="10"/>
      <c r="AW173" s="10"/>
      <c r="AX173" s="10" t="s">
        <v>60</v>
      </c>
      <c r="AY173" s="10" t="s">
        <v>60</v>
      </c>
      <c r="AZ173" s="10" t="s">
        <v>60</v>
      </c>
      <c r="BA173" s="10"/>
    </row>
    <row r="174" spans="1:53" hidden="1">
      <c r="A174" s="10" t="s">
        <v>58</v>
      </c>
      <c r="B174" s="10" t="s">
        <v>68</v>
      </c>
      <c r="C174" s="10" t="s">
        <v>59</v>
      </c>
      <c r="D174" s="11" t="s">
        <v>459</v>
      </c>
      <c r="E174" s="11"/>
      <c r="F174" s="10"/>
      <c r="G174" s="5" t="e">
        <f>VLOOKUP(N174,#REF!,3,FALSE)</f>
        <v>#REF!</v>
      </c>
      <c r="H174" s="10"/>
      <c r="I174" s="10" t="s">
        <v>74</v>
      </c>
      <c r="J174" s="87"/>
      <c r="K174" s="10" t="s">
        <v>75</v>
      </c>
      <c r="L174" s="10" t="s">
        <v>82</v>
      </c>
      <c r="M174" s="10" t="s">
        <v>66</v>
      </c>
      <c r="N174" s="13">
        <v>823917174</v>
      </c>
      <c r="O174" s="18">
        <v>46022</v>
      </c>
      <c r="P174" s="16">
        <v>46138</v>
      </c>
      <c r="Q174" s="16"/>
      <c r="R174" s="16"/>
      <c r="S174" s="10"/>
      <c r="T174" s="10"/>
      <c r="U174" s="10"/>
      <c r="V174" s="10"/>
      <c r="W174" s="10"/>
      <c r="X174" s="52"/>
      <c r="Y174" s="49" t="s">
        <v>77</v>
      </c>
      <c r="Z174" s="15">
        <v>21</v>
      </c>
      <c r="AA174" s="10" t="s">
        <v>112</v>
      </c>
      <c r="AB174" s="15"/>
      <c r="AC174" s="15"/>
      <c r="AD174" s="15"/>
      <c r="AE174" s="15"/>
      <c r="AF174" s="15"/>
      <c r="AG174" s="15"/>
      <c r="AH174" s="15"/>
      <c r="AI174" s="15"/>
      <c r="AJ174" s="10"/>
      <c r="AK174" s="10"/>
      <c r="AL174" s="58"/>
      <c r="AM174" s="63"/>
      <c r="AN174" s="10" t="s">
        <v>79</v>
      </c>
      <c r="AO174" s="10"/>
      <c r="AP174" s="10" t="s">
        <v>60</v>
      </c>
      <c r="AQ174" s="10" t="s">
        <v>60</v>
      </c>
      <c r="AR174" s="10"/>
      <c r="AS174" s="10"/>
      <c r="AT174" s="11"/>
      <c r="AU174" s="11"/>
      <c r="AV174" s="10"/>
      <c r="AW174" s="10"/>
      <c r="AX174" s="10"/>
      <c r="AY174" s="10"/>
      <c r="AZ174" s="10" t="s">
        <v>60</v>
      </c>
      <c r="BA174" s="10"/>
    </row>
    <row r="175" spans="1:53" ht="22.5" hidden="1">
      <c r="A175" s="10" t="s">
        <v>84</v>
      </c>
      <c r="B175" s="10" t="s">
        <v>94</v>
      </c>
      <c r="C175" s="10" t="s">
        <v>60</v>
      </c>
      <c r="D175" s="11" t="s">
        <v>460</v>
      </c>
      <c r="E175" s="22" t="s">
        <v>461</v>
      </c>
      <c r="F175" s="11"/>
      <c r="G175" s="5"/>
      <c r="H175" s="11"/>
      <c r="I175" s="10" t="s">
        <v>63</v>
      </c>
      <c r="J175" s="70" t="s">
        <v>462</v>
      </c>
      <c r="K175" s="10" t="s">
        <v>75</v>
      </c>
      <c r="L175" s="10" t="s">
        <v>187</v>
      </c>
      <c r="M175" s="10" t="s">
        <v>66</v>
      </c>
      <c r="N175" s="13">
        <v>840182323</v>
      </c>
      <c r="O175" s="18">
        <v>46022</v>
      </c>
      <c r="P175" s="16"/>
      <c r="Q175" s="16"/>
      <c r="R175" s="10"/>
      <c r="S175" s="10"/>
      <c r="T175" s="10"/>
      <c r="U175" s="10"/>
      <c r="V175" s="10"/>
      <c r="W175" s="10"/>
      <c r="X175" s="52"/>
      <c r="Y175" s="49"/>
      <c r="Z175" s="15">
        <v>24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58"/>
      <c r="AM175" s="63"/>
      <c r="AN175" s="10"/>
      <c r="AO175" s="10"/>
      <c r="AP175" s="10"/>
      <c r="AQ175" s="10"/>
      <c r="AR175" s="10"/>
      <c r="AS175" s="18"/>
      <c r="AT175" s="10"/>
      <c r="AU175" s="12"/>
      <c r="AV175" s="10"/>
      <c r="AW175" s="10"/>
      <c r="AX175" s="10"/>
      <c r="AY175" s="10"/>
      <c r="AZ175" s="10"/>
      <c r="BA175" s="10"/>
    </row>
    <row r="176" spans="1:53" hidden="1">
      <c r="P176" s="6" t="s">
        <v>463</v>
      </c>
      <c r="R176" s="6" t="s">
        <v>463</v>
      </c>
      <c r="Z176" s="8"/>
    </row>
    <row r="177" spans="16:26">
      <c r="P177" s="4"/>
      <c r="Q177" s="4"/>
      <c r="Z177" s="8"/>
    </row>
    <row r="178" spans="16:26">
      <c r="P178" s="98"/>
      <c r="Q178" s="98"/>
      <c r="Z178" s="8"/>
    </row>
    <row r="179" spans="16:26">
      <c r="P179" s="98"/>
      <c r="Q179" s="98"/>
    </row>
    <row r="180" spans="16:26">
      <c r="P180" s="98"/>
      <c r="Q180" s="98"/>
    </row>
    <row r="181" spans="16:26">
      <c r="P181" s="98"/>
      <c r="Q181" s="98"/>
    </row>
    <row r="182" spans="16:26">
      <c r="P182" s="98"/>
      <c r="Q182" s="98"/>
    </row>
  </sheetData>
  <autoFilter ref="A5:BA176" xr:uid="{00000000-0001-0000-0000-000000000000}">
    <filterColumn colId="2">
      <filters>
        <filter val="Quentin"/>
      </filters>
    </filterColumn>
  </autoFilter>
  <sortState xmlns:xlrd2="http://schemas.microsoft.com/office/spreadsheetml/2017/richdata2" ref="A6:AZ207">
    <sortCondition ref="AK6:AK207"/>
  </sortState>
  <mergeCells count="5">
    <mergeCell ref="Y4:AL4"/>
    <mergeCell ref="AM4:AQ4"/>
    <mergeCell ref="AR4:AW4"/>
    <mergeCell ref="AX4:AZ4"/>
    <mergeCell ref="P4:X4"/>
  </mergeCells>
  <phoneticPr fontId="13" type="noConversion"/>
  <conditionalFormatting sqref="B54">
    <cfRule type="beginsWith" dxfId="514" priority="1517" operator="beginsWith" text="-">
      <formula>LEFT(B54,LEN("-"))="-"</formula>
    </cfRule>
  </conditionalFormatting>
  <conditionalFormatting sqref="B71">
    <cfRule type="beginsWith" dxfId="513" priority="238" operator="beginsWith" text="-">
      <formula>LEFT(B71,LEN("-"))="-"</formula>
    </cfRule>
  </conditionalFormatting>
  <conditionalFormatting sqref="B71:B73">
    <cfRule type="beginsWith" dxfId="512" priority="245" operator="beginsWith" text="-">
      <formula>LEFT(B71,LEN("-"))="-"</formula>
    </cfRule>
  </conditionalFormatting>
  <conditionalFormatting sqref="B110">
    <cfRule type="beginsWith" dxfId="511" priority="782" operator="beginsWith" text="-">
      <formula>LEFT(B110,LEN("-"))="-"</formula>
    </cfRule>
  </conditionalFormatting>
  <conditionalFormatting sqref="B165:B168 B100 B94:B95 B87 B77:B79 B39:B42 B32:B34 B26 B30 B56 B64:B65 B84 B92 B97:B98 B102 B106 B112 B121 B124:B127 B129">
    <cfRule type="beginsWith" dxfId="510" priority="1211" operator="beginsWith" text="-">
      <formula>LEFT(B26,LEN("-"))="-"</formula>
    </cfRule>
  </conditionalFormatting>
  <conditionalFormatting sqref="B171:B173">
    <cfRule type="beginsWith" dxfId="509" priority="784" operator="beginsWith" text="-">
      <formula>LEFT(B171,LEN("-"))="-"</formula>
    </cfRule>
  </conditionalFormatting>
  <conditionalFormatting sqref="B173">
    <cfRule type="beginsWith" dxfId="508" priority="255" operator="beginsWith" text="-">
      <formula>LEFT(B173,LEN("-"))="-"</formula>
    </cfRule>
  </conditionalFormatting>
  <conditionalFormatting sqref="B54:C54 B12 AM174">
    <cfRule type="beginsWith" dxfId="507" priority="1541" operator="beginsWith" text="-">
      <formula>LEFT(B12,LEN("-"))="-"</formula>
    </cfRule>
  </conditionalFormatting>
  <conditionalFormatting sqref="C1:C1048576 B17:B20 B14:B15 B22 AN122:AZ124 AO125:AZ125 AX132:AZ147 AO126:AQ126 AS126:AZ126">
    <cfRule type="beginsWith" dxfId="506" priority="1533" operator="beginsWith" text="-">
      <formula>LEFT(B1,LEN("-"))="-"</formula>
    </cfRule>
  </conditionalFormatting>
  <conditionalFormatting sqref="Y5:AL5">
    <cfRule type="containsText" dxfId="505" priority="143" operator="containsText" text="-">
      <formula>NOT(ISERROR(SEARCH("-",Y5)))</formula>
    </cfRule>
    <cfRule type="containsText" dxfId="504" priority="144" operator="containsText" text="x">
      <formula>NOT(ISERROR(SEARCH("x",Y5)))</formula>
    </cfRule>
  </conditionalFormatting>
  <conditionalFormatting sqref="Z134">
    <cfRule type="containsText" dxfId="503" priority="336" operator="containsText" text="-">
      <formula>NOT(ISERROR(SEARCH("-",Z134)))</formula>
    </cfRule>
    <cfRule type="containsText" dxfId="502" priority="337" operator="containsText" text="x">
      <formula>NOT(ISERROR(SEARCH("x",Z134)))</formula>
    </cfRule>
  </conditionalFormatting>
  <conditionalFormatting sqref="Z145:AL146">
    <cfRule type="containsText" dxfId="501" priority="272" operator="containsText" text="-">
      <formula>NOT(ISERROR(SEARCH("-",Z145)))</formula>
    </cfRule>
    <cfRule type="containsText" dxfId="500" priority="273" operator="containsText" text="x">
      <formula>NOT(ISERROR(SEARCH("x",Z145)))</formula>
    </cfRule>
  </conditionalFormatting>
  <conditionalFormatting sqref="AA12">
    <cfRule type="containsText" dxfId="499" priority="137" operator="containsText" text="-">
      <formula>NOT(ISERROR(SEARCH("-",AA12)))</formula>
    </cfRule>
    <cfRule type="containsText" dxfId="498" priority="138" operator="containsText" text="x">
      <formula>NOT(ISERROR(SEARCH("x",AA12)))</formula>
    </cfRule>
  </conditionalFormatting>
  <conditionalFormatting sqref="AA32">
    <cfRule type="beginsWith" dxfId="497" priority="127" operator="beginsWith" text="-">
      <formula>LEFT(AA32,LEN("-"))="-"</formula>
    </cfRule>
    <cfRule type="beginsWith" dxfId="496" priority="128" operator="beginsWith" text="x">
      <formula>LEFT(AA32,LEN("x"))="x"</formula>
    </cfRule>
  </conditionalFormatting>
  <conditionalFormatting sqref="AA33">
    <cfRule type="containsText" dxfId="495" priority="133" operator="containsText" text="-">
      <formula>NOT(ISERROR(SEARCH("-",AA33)))</formula>
    </cfRule>
    <cfRule type="containsText" dxfId="494" priority="134" operator="containsText" text="x">
      <formula>NOT(ISERROR(SEARCH("x",AA33)))</formula>
    </cfRule>
  </conditionalFormatting>
  <conditionalFormatting sqref="AA65:AA66">
    <cfRule type="containsText" dxfId="493" priority="106" operator="containsText" text="x">
      <formula>NOT(ISERROR(SEARCH("x",AA65)))</formula>
    </cfRule>
  </conditionalFormatting>
  <conditionalFormatting sqref="AA80">
    <cfRule type="beginsWith" dxfId="492" priority="121" operator="beginsWith" text="-">
      <formula>LEFT(AA80,LEN("-"))="-"</formula>
    </cfRule>
    <cfRule type="beginsWith" dxfId="491" priority="122" operator="beginsWith" text="x">
      <formula>LEFT(AA80,LEN("x"))="x"</formula>
    </cfRule>
  </conditionalFormatting>
  <conditionalFormatting sqref="AA141:AA142 AR144:AS144 AV144:AW144">
    <cfRule type="containsText" dxfId="490" priority="1195" operator="containsText" text="-">
      <formula>NOT(ISERROR(SEARCH("-",AA141)))</formula>
    </cfRule>
    <cfRule type="containsText" dxfId="489" priority="1196" operator="containsText" text="x">
      <formula>NOT(ISERROR(SEARCH("x",AA141)))</formula>
    </cfRule>
  </conditionalFormatting>
  <conditionalFormatting sqref="AA154:AA158 AA160:AA161">
    <cfRule type="containsText" dxfId="488" priority="151" operator="containsText" text="-">
      <formula>NOT(ISERROR(SEARCH("-",AA154)))</formula>
    </cfRule>
    <cfRule type="containsText" dxfId="487" priority="152" operator="containsText" text="x">
      <formula>NOT(ISERROR(SEARCH("x",AA154)))</formula>
    </cfRule>
  </conditionalFormatting>
  <conditionalFormatting sqref="AA167">
    <cfRule type="beginsWith" dxfId="486" priority="119" operator="beginsWith" text="-">
      <formula>LEFT(AA167,LEN("-"))="-"</formula>
    </cfRule>
    <cfRule type="beginsWith" dxfId="485" priority="120" operator="beginsWith" text="x">
      <formula>LEFT(AA167,LEN("x"))="x"</formula>
    </cfRule>
  </conditionalFormatting>
  <conditionalFormatting sqref="AA172">
    <cfRule type="beginsWith" dxfId="484" priority="117" operator="beginsWith" text="-">
      <formula>LEFT(AA172,LEN("-"))="-"</formula>
    </cfRule>
    <cfRule type="beginsWith" dxfId="483" priority="118" operator="beginsWith" text="x">
      <formula>LEFT(AA172,LEN("x"))="x"</formula>
    </cfRule>
  </conditionalFormatting>
  <conditionalFormatting sqref="AA143:AB143">
    <cfRule type="beginsWith" dxfId="482" priority="1438" operator="beginsWith" text="-">
      <formula>LEFT(AA143,LEN("-"))="-"</formula>
    </cfRule>
    <cfRule type="beginsWith" dxfId="481" priority="1439" operator="beginsWith" text="x">
      <formula>LEFT(AA143,LEN("x"))="x"</formula>
    </cfRule>
  </conditionalFormatting>
  <conditionalFormatting sqref="AA144:AB144">
    <cfRule type="containsText" dxfId="480" priority="378" operator="containsText" text="-">
      <formula>NOT(ISERROR(SEARCH("-",AA144)))</formula>
    </cfRule>
    <cfRule type="containsText" dxfId="479" priority="379" operator="containsText" text="x">
      <formula>NOT(ISERROR(SEARCH("x",AA144)))</formula>
    </cfRule>
  </conditionalFormatting>
  <conditionalFormatting sqref="AA169:AB169">
    <cfRule type="beginsWith" dxfId="478" priority="1350" operator="beginsWith" text="-">
      <formula>LEFT(AA169,LEN("-"))="-"</formula>
    </cfRule>
    <cfRule type="beginsWith" dxfId="477" priority="1351" operator="beginsWith" text="x">
      <formula>LEFT(AA169,LEN("x"))="x"</formula>
    </cfRule>
  </conditionalFormatting>
  <conditionalFormatting sqref="AA8:AE8">
    <cfRule type="containsText" dxfId="476" priority="139" operator="containsText" text="-">
      <formula>NOT(ISERROR(SEARCH("-",AA8)))</formula>
    </cfRule>
    <cfRule type="containsText" dxfId="475" priority="140" operator="containsText" text="x">
      <formula>NOT(ISERROR(SEARCH("x",AA8)))</formula>
    </cfRule>
  </conditionalFormatting>
  <conditionalFormatting sqref="AA150:AE150">
    <cfRule type="containsText" dxfId="474" priority="1215" operator="containsText" text="-">
      <formula>NOT(ISERROR(SEARCH("-",AA150)))</formula>
    </cfRule>
    <cfRule type="containsText" dxfId="473" priority="1216" operator="containsText" text="x">
      <formula>NOT(ISERROR(SEARCH("x",AA150)))</formula>
    </cfRule>
  </conditionalFormatting>
  <conditionalFormatting sqref="AA170:AF170">
    <cfRule type="containsText" dxfId="472" priority="866" operator="containsText" text="-">
      <formula>NOT(ISERROR(SEARCH("-",AA170)))</formula>
    </cfRule>
    <cfRule type="containsText" dxfId="471" priority="867" operator="containsText" text="x">
      <formula>NOT(ISERROR(SEARCH("x",AA170)))</formula>
    </cfRule>
  </conditionalFormatting>
  <conditionalFormatting sqref="AA59:AG61 AA60:AL60 AI61:AJ61">
    <cfRule type="containsText" dxfId="470" priority="857" operator="containsText" text="x">
      <formula>NOT(ISERROR(SEARCH("x",AA59)))</formula>
    </cfRule>
  </conditionalFormatting>
  <conditionalFormatting sqref="AA64:AH67">
    <cfRule type="containsText" dxfId="469" priority="105" operator="containsText" text="-">
      <formula>NOT(ISERROR(SEARCH("-",AA64)))</formula>
    </cfRule>
  </conditionalFormatting>
  <conditionalFormatting sqref="AA67:AH67">
    <cfRule type="containsText" dxfId="468" priority="831" operator="containsText" text="x">
      <formula>NOT(ISERROR(SEARCH("x",AA67)))</formula>
    </cfRule>
  </conditionalFormatting>
  <conditionalFormatting sqref="AA10:AI10 AA9:AL9">
    <cfRule type="containsText" dxfId="467" priority="743" operator="containsText" text="-">
      <formula>NOT(ISERROR(SEARCH("-",AA9)))</formula>
    </cfRule>
  </conditionalFormatting>
  <conditionalFormatting sqref="AA13:AI13">
    <cfRule type="containsText" dxfId="466" priority="747" operator="containsText" text="-">
      <formula>NOT(ISERROR(SEARCH("-",AA13)))</formula>
    </cfRule>
    <cfRule type="containsText" dxfId="465" priority="748" operator="containsText" text="x">
      <formula>NOT(ISERROR(SEARCH("x",AA13)))</formula>
    </cfRule>
  </conditionalFormatting>
  <conditionalFormatting sqref="AA6:AJ7">
    <cfRule type="containsText" dxfId="464" priority="424" operator="containsText" text="-">
      <formula>NOT(ISERROR(SEARCH("-",AA6)))</formula>
    </cfRule>
    <cfRule type="containsText" dxfId="463" priority="425" operator="containsText" text="x">
      <formula>NOT(ISERROR(SEARCH("x",AA6)))</formula>
    </cfRule>
  </conditionalFormatting>
  <conditionalFormatting sqref="AA17:AJ17">
    <cfRule type="containsText" dxfId="462" priority="751" operator="containsText" text="-">
      <formula>NOT(ISERROR(SEARCH("-",AA17)))</formula>
    </cfRule>
    <cfRule type="containsText" dxfId="461" priority="752" operator="containsText" text="x">
      <formula>NOT(ISERROR(SEARCH("x",AA17)))</formula>
    </cfRule>
  </conditionalFormatting>
  <conditionalFormatting sqref="AA82:AJ84 AB85:AJ85">
    <cfRule type="containsText" dxfId="460" priority="627" operator="containsText" text="-">
      <formula>NOT(ISERROR(SEARCH("-",AA82)))</formula>
    </cfRule>
    <cfRule type="containsText" dxfId="459" priority="628" operator="containsText" text="x">
      <formula>NOT(ISERROR(SEARCH("x",AA82)))</formula>
    </cfRule>
  </conditionalFormatting>
  <conditionalFormatting sqref="AA81:AK81">
    <cfRule type="containsText" dxfId="458" priority="326" operator="containsText" text="-">
      <formula>NOT(ISERROR(SEARCH("-",AA81)))</formula>
    </cfRule>
    <cfRule type="containsText" dxfId="457" priority="327" operator="containsText" text="x">
      <formula>NOT(ISERROR(SEARCH("x",AA81)))</formula>
    </cfRule>
  </conditionalFormatting>
  <conditionalFormatting sqref="AA86:AK86 AA87:AL87 AA89:AL93 AB88:AL88">
    <cfRule type="containsText" dxfId="456" priority="365" operator="containsText" text="x">
      <formula>NOT(ISERROR(SEARCH("x",AA86)))</formula>
    </cfRule>
  </conditionalFormatting>
  <conditionalFormatting sqref="AA119:AK120">
    <cfRule type="containsText" dxfId="455" priority="352" operator="containsText" text="-">
      <formula>NOT(ISERROR(SEARCH("-",AA119)))</formula>
    </cfRule>
    <cfRule type="containsText" dxfId="454" priority="353" operator="containsText" text="x">
      <formula>NOT(ISERROR(SEARCH("x",AA119)))</formula>
    </cfRule>
  </conditionalFormatting>
  <conditionalFormatting sqref="AA131:AK131">
    <cfRule type="containsText" dxfId="453" priority="898" operator="containsText" text="-">
      <formula>NOT(ISERROR(SEARCH("-",AA131)))</formula>
    </cfRule>
    <cfRule type="containsText" dxfId="452" priority="899" operator="containsText" text="x">
      <formula>NOT(ISERROR(SEARCH("x",AA131)))</formula>
    </cfRule>
  </conditionalFormatting>
  <conditionalFormatting sqref="AA149:AK149">
    <cfRule type="containsText" dxfId="451" priority="115" operator="containsText" text="-">
      <formula>NOT(ISERROR(SEARCH("-",AA149)))</formula>
    </cfRule>
    <cfRule type="containsText" dxfId="450" priority="116" operator="containsText" text="x">
      <formula>NOT(ISERROR(SEARCH("x",AA149)))</formula>
    </cfRule>
  </conditionalFormatting>
  <conditionalFormatting sqref="AA1:AL3 AG8:AJ8 AS135 AV135 AR136:AW136 AR140 AT140:AW140 AV141:AW142 AR142:AS142 AR143 AT143:AW143 AR145 AT145:AV145 AR146:AW146 AR147:AS147 AV147:AW147 AC169:AL169 AB65:AE66 AR138:AW139 AS137:AW137">
    <cfRule type="containsText" dxfId="449" priority="1549" operator="containsText" text="x">
      <formula>NOT(ISERROR(SEARCH("x",AA1)))</formula>
    </cfRule>
  </conditionalFormatting>
  <conditionalFormatting sqref="AA1:AL3 AG8:AJ8 AS135 AV135 AR136:AW136 AR140 AT140:AW140 AV141:AW142 AR142:AS142 AR143 AT143:AW143 AR145 AT145:AV145 AR146:AW146 AR147:AS147 AV147:AW147 AC169:AL169 AR138:AW139 AS137:AW137">
    <cfRule type="containsText" dxfId="448" priority="1548" operator="containsText" text="-">
      <formula>NOT(ISERROR(SEARCH("-",AA1)))</formula>
    </cfRule>
  </conditionalFormatting>
  <conditionalFormatting sqref="AA9:AL9 AA10:AI10">
    <cfRule type="containsText" dxfId="447" priority="744" operator="containsText" text="x">
      <formula>NOT(ISERROR(SEARCH("x",AA9)))</formula>
    </cfRule>
  </conditionalFormatting>
  <conditionalFormatting sqref="AA11:AL11">
    <cfRule type="containsText" dxfId="446" priority="234" operator="containsText" text="-">
      <formula>NOT(ISERROR(SEARCH("-",AA11)))</formula>
    </cfRule>
    <cfRule type="containsText" dxfId="445" priority="235" operator="containsText" text="x">
      <formula>NOT(ISERROR(SEARCH("x",AA11)))</formula>
    </cfRule>
  </conditionalFormatting>
  <conditionalFormatting sqref="AA14:AL16">
    <cfRule type="containsText" dxfId="444" priority="109" operator="containsText" text="-">
      <formula>NOT(ISERROR(SEARCH("-",AA14)))</formula>
    </cfRule>
    <cfRule type="containsText" dxfId="443" priority="110" operator="containsText" text="x">
      <formula>NOT(ISERROR(SEARCH("x",AA14)))</formula>
    </cfRule>
  </conditionalFormatting>
  <conditionalFormatting sqref="AA18:AL31">
    <cfRule type="containsText" dxfId="442" priority="113" operator="containsText" text="-">
      <formula>NOT(ISERROR(SEARCH("-",AA18)))</formula>
    </cfRule>
    <cfRule type="containsText" dxfId="441" priority="114" operator="containsText" text="x">
      <formula>NOT(ISERROR(SEARCH("x",AA18)))</formula>
    </cfRule>
  </conditionalFormatting>
  <conditionalFormatting sqref="AA35:AL38 AA40:AL51 AB39:AL39 AA56:AL60 AB55:AL55 AA53:AL54 AB52:AL52 AB34:AL34">
    <cfRule type="containsText" dxfId="440" priority="125" operator="containsText" text="-">
      <formula>NOT(ISERROR(SEARCH("-",AA34)))</formula>
    </cfRule>
    <cfRule type="containsText" dxfId="439" priority="126" operator="containsText" text="x">
      <formula>NOT(ISERROR(SEARCH("x",AA34)))</formula>
    </cfRule>
  </conditionalFormatting>
  <conditionalFormatting sqref="AA60:AL60 AI61:AJ61 AA59:AG61">
    <cfRule type="containsText" dxfId="438" priority="856" operator="containsText" text="-">
      <formula>NOT(ISERROR(SEARCH("-",AA59)))</formula>
    </cfRule>
  </conditionalFormatting>
  <conditionalFormatting sqref="AA62:AL63">
    <cfRule type="containsText" dxfId="437" priority="131" operator="containsText" text="-">
      <formula>NOT(ISERROR(SEARCH("-",AA62)))</formula>
    </cfRule>
    <cfRule type="containsText" dxfId="436" priority="132" operator="containsText" text="x">
      <formula>NOT(ISERROR(SEARCH("x",AA62)))</formula>
    </cfRule>
  </conditionalFormatting>
  <conditionalFormatting sqref="AA68:AL69 AA71:AL76 AB70:AL70 AA78:AL79 AB77:AL77">
    <cfRule type="containsText" dxfId="435" priority="123" operator="containsText" text="-">
      <formula>NOT(ISERROR(SEARCH("-",AA68)))</formula>
    </cfRule>
    <cfRule type="containsText" dxfId="434" priority="124" operator="containsText" text="x">
      <formula>NOT(ISERROR(SEARCH("x",AA68)))</formula>
    </cfRule>
  </conditionalFormatting>
  <conditionalFormatting sqref="AA87:AL87">
    <cfRule type="containsText" dxfId="433" priority="362" operator="containsText" text="-">
      <formula>NOT(ISERROR(SEARCH("-",AA87)))</formula>
    </cfRule>
    <cfRule type="containsText" dxfId="432" priority="363" operator="containsText" text="x">
      <formula>NOT(ISERROR(SEARCH("x",AA87)))</formula>
    </cfRule>
  </conditionalFormatting>
  <conditionalFormatting sqref="AA87:AL87 AA86:AK86 AA89:AL93 AB88:AL88">
    <cfRule type="containsText" dxfId="431" priority="364" operator="containsText" text="-">
      <formula>NOT(ISERROR(SEARCH("-",AA86)))</formula>
    </cfRule>
  </conditionalFormatting>
  <conditionalFormatting sqref="AA94:AL94">
    <cfRule type="containsText" dxfId="430" priority="304" operator="containsText" text="-">
      <formula>NOT(ISERROR(SEARCH("-",AA94)))</formula>
    </cfRule>
    <cfRule type="containsText" dxfId="429" priority="305" operator="containsText" text="x">
      <formula>NOT(ISERROR(SEARCH("x",AA94)))</formula>
    </cfRule>
  </conditionalFormatting>
  <conditionalFormatting sqref="AA95:AL97 AA99:AL99 AB98:AL98">
    <cfRule type="containsText" dxfId="428" priority="372" operator="containsText" text="-">
      <formula>NOT(ISERROR(SEARCH("-",AA95)))</formula>
    </cfRule>
    <cfRule type="containsText" dxfId="427" priority="373" operator="containsText" text="x">
      <formula>NOT(ISERROR(SEARCH("x",AA95)))</formula>
    </cfRule>
  </conditionalFormatting>
  <conditionalFormatting sqref="AB98:AL98">
    <cfRule type="containsText" dxfId="426" priority="370" operator="containsText" text="-">
      <formula>NOT(ISERROR(SEARCH("-",AB98)))</formula>
    </cfRule>
    <cfRule type="containsText" dxfId="425" priority="371" operator="containsText" text="x">
      <formula>NOT(ISERROR(SEARCH("x",AB98)))</formula>
    </cfRule>
  </conditionalFormatting>
  <conditionalFormatting sqref="AA121:AL130">
    <cfRule type="containsText" dxfId="424" priority="93" operator="containsText" text="-">
      <formula>NOT(ISERROR(SEARCH("-",AA121)))</formula>
    </cfRule>
    <cfRule type="containsText" dxfId="423" priority="94" operator="containsText" text="x">
      <formula>NOT(ISERROR(SEARCH("x",AA121)))</formula>
    </cfRule>
  </conditionalFormatting>
  <conditionalFormatting sqref="AA133:AL134 AB132:AL132 AA138:AL140 AB137:AL137 AA136:AL136 AB135:AL135">
    <cfRule type="containsText" dxfId="422" priority="338" operator="containsText" text="-">
      <formula>NOT(ISERROR(SEARCH("-",AA132)))</formula>
    </cfRule>
    <cfRule type="containsText" dxfId="421" priority="339" operator="containsText" text="x">
      <formula>NOT(ISERROR(SEARCH("x",AA132)))</formula>
    </cfRule>
  </conditionalFormatting>
  <conditionalFormatting sqref="AA151:AL153">
    <cfRule type="containsText" dxfId="420" priority="894" operator="containsText" text="-">
      <formula>NOT(ISERROR(SEARCH("-",AA151)))</formula>
    </cfRule>
    <cfRule type="containsText" dxfId="419" priority="895" operator="containsText" text="x">
      <formula>NOT(ISERROR(SEARCH("x",AA151)))</formula>
    </cfRule>
  </conditionalFormatting>
  <conditionalFormatting sqref="AA163:AL166">
    <cfRule type="containsText" dxfId="418" priority="111" operator="containsText" text="-">
      <formula>NOT(ISERROR(SEARCH("-",AA163)))</formula>
    </cfRule>
    <cfRule type="containsText" dxfId="417" priority="112" operator="containsText" text="x">
      <formula>NOT(ISERROR(SEARCH("x",AA163)))</formula>
    </cfRule>
  </conditionalFormatting>
  <conditionalFormatting sqref="AA173:AL173">
    <cfRule type="containsText" dxfId="416" priority="316" operator="containsText" text="-">
      <formula>NOT(ISERROR(SEARCH("-",AA173)))</formula>
    </cfRule>
    <cfRule type="containsText" dxfId="415" priority="317" operator="containsText" text="x">
      <formula>NOT(ISERROR(SEARCH("x",AA173)))</formula>
    </cfRule>
  </conditionalFormatting>
  <conditionalFormatting sqref="AA174:AL1048576">
    <cfRule type="containsText" dxfId="414" priority="147" operator="containsText" text="-">
      <formula>NOT(ISERROR(SEARCH("-",AA174)))</formula>
    </cfRule>
    <cfRule type="containsText" dxfId="413" priority="148" operator="containsText" text="x">
      <formula>NOT(ISERROR(SEARCH("x",AA174)))</formula>
    </cfRule>
  </conditionalFormatting>
  <conditionalFormatting sqref="AA171:AM171">
    <cfRule type="containsText" dxfId="412" priority="218" operator="containsText" text="-">
      <formula>NOT(ISERROR(SEARCH("-",AA171)))</formula>
    </cfRule>
    <cfRule type="containsText" dxfId="411" priority="219" operator="containsText" text="x">
      <formula>NOT(ISERROR(SEARCH("x",AA171)))</formula>
    </cfRule>
  </conditionalFormatting>
  <conditionalFormatting sqref="AB154:AE154">
    <cfRule type="containsText" dxfId="410" priority="1225" operator="containsText" text="-">
      <formula>NOT(ISERROR(SEARCH("-",AB154)))</formula>
    </cfRule>
    <cfRule type="containsText" dxfId="409" priority="1226" operator="containsText" text="x">
      <formula>NOT(ISERROR(SEARCH("x",AB154)))</formula>
    </cfRule>
  </conditionalFormatting>
  <conditionalFormatting sqref="AB65:AH65 AA64:AH64">
    <cfRule type="containsText" dxfId="408" priority="815" operator="containsText" text="x">
      <formula>NOT(ISERROR(SEARCH("x",AA64)))</formula>
    </cfRule>
  </conditionalFormatting>
  <conditionalFormatting sqref="AB65:AH65">
    <cfRule type="containsText" dxfId="407" priority="814" operator="containsText" text="-">
      <formula>NOT(ISERROR(SEARCH("-",AB65)))</formula>
    </cfRule>
  </conditionalFormatting>
  <conditionalFormatting sqref="AB160:AJ160">
    <cfRule type="containsText" dxfId="406" priority="593" operator="containsText" text="-">
      <formula>NOT(ISERROR(SEARCH("-",AB160)))</formula>
    </cfRule>
    <cfRule type="containsText" dxfId="405" priority="594" operator="containsText" text="x">
      <formula>NOT(ISERROR(SEARCH("x",AB160)))</formula>
    </cfRule>
  </conditionalFormatting>
  <conditionalFormatting sqref="AB32:AK33">
    <cfRule type="containsText" dxfId="404" priority="755" operator="containsText" text="-">
      <formula>NOT(ISERROR(SEARCH("-",AB32)))</formula>
    </cfRule>
    <cfRule type="containsText" dxfId="403" priority="756" operator="containsText" text="x">
      <formula>NOT(ISERROR(SEARCH("x",AB32)))</formula>
    </cfRule>
  </conditionalFormatting>
  <conditionalFormatting sqref="AB142:AK142">
    <cfRule type="containsText" dxfId="402" priority="420" operator="containsText" text="-">
      <formula>NOT(ISERROR(SEARCH("-",AB142)))</formula>
    </cfRule>
    <cfRule type="containsText" dxfId="401" priority="421" operator="containsText" text="x">
      <formula>NOT(ISERROR(SEARCH("x",AB142)))</formula>
    </cfRule>
  </conditionalFormatting>
  <conditionalFormatting sqref="AB80:AL80 AA100:AL111 Z127 AB155:AB159 AB118:AL118 AA113:AL117 AB112:AL112">
    <cfRule type="containsText" dxfId="400" priority="342" operator="containsText" text="-">
      <formula>NOT(ISERROR(SEARCH("-",Z80)))</formula>
    </cfRule>
    <cfRule type="containsText" dxfId="399" priority="343" operator="containsText" text="x">
      <formula>NOT(ISERROR(SEARCH("x",Z80)))</formula>
    </cfRule>
  </conditionalFormatting>
  <conditionalFormatting sqref="AB87:AL87">
    <cfRule type="containsText" dxfId="398" priority="366" operator="containsText" text="-">
      <formula>NOT(ISERROR(SEARCH("-",AB87)))</formula>
    </cfRule>
    <cfRule type="containsText" dxfId="397" priority="367" operator="containsText" text="x">
      <formula>NOT(ISERROR(SEARCH("x",AB87)))</formula>
    </cfRule>
  </conditionalFormatting>
  <conditionalFormatting sqref="AB98:AL98">
    <cfRule type="containsText" dxfId="396" priority="406" operator="containsText" text="-">
      <formula>NOT(ISERROR(SEARCH("-",AB98)))</formula>
    </cfRule>
    <cfRule type="containsText" dxfId="395" priority="407" operator="containsText" text="x">
      <formula>NOT(ISERROR(SEARCH("x",AB98)))</formula>
    </cfRule>
  </conditionalFormatting>
  <conditionalFormatting sqref="AB124:AL124 AB126:AL126 AB129:AL129">
    <cfRule type="containsText" dxfId="394" priority="448" operator="containsText" text="-">
      <formula>NOT(ISERROR(SEARCH("-",AB124)))</formula>
    </cfRule>
    <cfRule type="containsText" dxfId="393" priority="449" operator="containsText" text="x">
      <formula>NOT(ISERROR(SEARCH("x",AB124)))</formula>
    </cfRule>
  </conditionalFormatting>
  <conditionalFormatting sqref="AB135:AL137">
    <cfRule type="containsText" dxfId="392" priority="388" operator="containsText" text="-">
      <formula>NOT(ISERROR(SEARCH("-",AB135)))</formula>
    </cfRule>
    <cfRule type="containsText" dxfId="391" priority="389" operator="containsText" text="x">
      <formula>NOT(ISERROR(SEARCH("x",AB135)))</formula>
    </cfRule>
  </conditionalFormatting>
  <conditionalFormatting sqref="AB139:AL139">
    <cfRule type="containsText" dxfId="390" priority="384" operator="containsText" text="-">
      <formula>NOT(ISERROR(SEARCH("-",AB139)))</formula>
    </cfRule>
    <cfRule type="containsText" dxfId="389" priority="385" operator="containsText" text="x">
      <formula>NOT(ISERROR(SEARCH("x",AB139)))</formula>
    </cfRule>
  </conditionalFormatting>
  <conditionalFormatting sqref="AB167:AL168">
    <cfRule type="containsText" dxfId="388" priority="290" operator="containsText" text="-">
      <formula>NOT(ISERROR(SEARCH("-",AB167)))</formula>
    </cfRule>
    <cfRule type="containsText" dxfId="387" priority="291" operator="containsText" text="x">
      <formula>NOT(ISERROR(SEARCH("x",AB167)))</formula>
    </cfRule>
  </conditionalFormatting>
  <conditionalFormatting sqref="AB172:AL172">
    <cfRule type="containsText" dxfId="386" priority="274" operator="containsText" text="-">
      <formula>NOT(ISERROR(SEARCH("-",AB172)))</formula>
    </cfRule>
    <cfRule type="containsText" dxfId="385" priority="275" operator="containsText" text="x">
      <formula>NOT(ISERROR(SEARCH("x",AB172)))</formula>
    </cfRule>
  </conditionalFormatting>
  <conditionalFormatting sqref="AC143">
    <cfRule type="containsText" dxfId="384" priority="1334" operator="containsText" text="-">
      <formula>NOT(ISERROR(SEARCH("-",AC143)))</formula>
    </cfRule>
    <cfRule type="containsText" dxfId="383" priority="1335" operator="containsText" text="x">
      <formula>NOT(ISERROR(SEARCH("x",AC143)))</formula>
    </cfRule>
  </conditionalFormatting>
  <conditionalFormatting sqref="AC158:AI159">
    <cfRule type="containsText" dxfId="382" priority="733" operator="containsText" text="-">
      <formula>NOT(ISERROR(SEARCH("-",AC158)))</formula>
    </cfRule>
    <cfRule type="containsText" dxfId="381" priority="734" operator="containsText" text="x">
      <formula>NOT(ISERROR(SEARCH("x",AC158)))</formula>
    </cfRule>
  </conditionalFormatting>
  <conditionalFormatting sqref="AC12:AL12 AI13:AL13">
    <cfRule type="containsText" dxfId="380" priority="613" operator="containsText" text="-">
      <formula>NOT(ISERROR(SEARCH("-",AC12)))</formula>
    </cfRule>
    <cfRule type="containsText" dxfId="379" priority="614" operator="containsText" text="x">
      <formula>NOT(ISERROR(SEARCH("x",AC12)))</formula>
    </cfRule>
  </conditionalFormatting>
  <conditionalFormatting sqref="AC155:AL157">
    <cfRule type="containsText" dxfId="378" priority="296" operator="containsText" text="-">
      <formula>NOT(ISERROR(SEARCH("-",AC155)))</formula>
    </cfRule>
    <cfRule type="containsText" dxfId="377" priority="297" operator="containsText" text="x">
      <formula>NOT(ISERROR(SEARCH("x",AC155)))</formula>
    </cfRule>
  </conditionalFormatting>
  <conditionalFormatting sqref="AD144:AK144">
    <cfRule type="containsText" dxfId="376" priority="374" operator="containsText" text="-">
      <formula>NOT(ISERROR(SEARCH("-",AD144)))</formula>
    </cfRule>
    <cfRule type="containsText" dxfId="375" priority="375" operator="containsText" text="x">
      <formula>NOT(ISERROR(SEARCH("x",AD144)))</formula>
    </cfRule>
  </conditionalFormatting>
  <conditionalFormatting sqref="AF65:AH66">
    <cfRule type="containsText" dxfId="374" priority="811" operator="containsText" text="x">
      <formula>NOT(ISERROR(SEARCH("x",AF65)))</formula>
    </cfRule>
  </conditionalFormatting>
  <conditionalFormatting sqref="AF147:AL147">
    <cfRule type="containsText" dxfId="373" priority="762" operator="containsText" text="-">
      <formula>NOT(ISERROR(SEARCH("-",AF147)))</formula>
    </cfRule>
    <cfRule type="containsText" dxfId="372" priority="763" operator="containsText" text="x">
      <formula>NOT(ISERROR(SEARCH("x",AF147)))</formula>
    </cfRule>
  </conditionalFormatting>
  <conditionalFormatting sqref="AH60:AI61">
    <cfRule type="containsText" dxfId="371" priority="737" operator="containsText" text="-">
      <formula>NOT(ISERROR(SEARCH("-",AH60)))</formula>
    </cfRule>
    <cfRule type="containsText" dxfId="370" priority="738" operator="containsText" text="x">
      <formula>NOT(ISERROR(SEARCH("x",AH60)))</formula>
    </cfRule>
  </conditionalFormatting>
  <conditionalFormatting sqref="AI63">
    <cfRule type="containsText" dxfId="369" priority="1310" operator="containsText" text="-">
      <formula>NOT(ISERROR(SEARCH("-",AI63)))</formula>
    </cfRule>
    <cfRule type="containsText" dxfId="368" priority="1311" operator="containsText" text="x">
      <formula>NOT(ISERROR(SEARCH("x",AI63)))</formula>
    </cfRule>
  </conditionalFormatting>
  <conditionalFormatting sqref="AI170 AL170">
    <cfRule type="containsText" dxfId="367" priority="621" operator="containsText" text="-">
      <formula>NOT(ISERROR(SEARCH("-",AI170)))</formula>
    </cfRule>
    <cfRule type="containsText" dxfId="366" priority="622" operator="containsText" text="x">
      <formula>NOT(ISERROR(SEARCH("x",AI170)))</formula>
    </cfRule>
  </conditionalFormatting>
  <conditionalFormatting sqref="AI10:AJ10">
    <cfRule type="containsText" dxfId="365" priority="603" operator="containsText" text="-">
      <formula>NOT(ISERROR(SEARCH("-",AI10)))</formula>
    </cfRule>
    <cfRule type="containsText" dxfId="364" priority="604" operator="containsText" text="x">
      <formula>NOT(ISERROR(SEARCH("x",AI10)))</formula>
    </cfRule>
  </conditionalFormatting>
  <conditionalFormatting sqref="AI32:AK32">
    <cfRule type="containsText" dxfId="363" priority="753" operator="containsText" text="-">
      <formula>NOT(ISERROR(SEARCH("-",AI32)))</formula>
    </cfRule>
    <cfRule type="containsText" dxfId="362" priority="754" operator="containsText" text="x">
      <formula>NOT(ISERROR(SEARCH("x",AI32)))</formula>
    </cfRule>
  </conditionalFormatting>
  <conditionalFormatting sqref="AI17:AL17">
    <cfRule type="containsText" dxfId="361" priority="300" operator="containsText" text="-">
      <formula>NOT(ISERROR(SEARCH("-",AI17)))</formula>
    </cfRule>
    <cfRule type="containsText" dxfId="360" priority="301" operator="containsText" text="x">
      <formula>NOT(ISERROR(SEARCH("x",AI17)))</formula>
    </cfRule>
  </conditionalFormatting>
  <conditionalFormatting sqref="AI64:AL65 AI66:AI67">
    <cfRule type="containsText" dxfId="359" priority="677" operator="containsText" text="-">
      <formula>NOT(ISERROR(SEARCH("-",AI64)))</formula>
    </cfRule>
    <cfRule type="containsText" dxfId="358" priority="678" operator="containsText" text="x">
      <formula>NOT(ISERROR(SEARCH("x",AI64)))</formula>
    </cfRule>
  </conditionalFormatting>
  <conditionalFormatting sqref="AJ156">
    <cfRule type="containsText" dxfId="357" priority="597" operator="containsText" text="-">
      <formula>NOT(ISERROR(SEARCH("-",AJ156)))</formula>
    </cfRule>
    <cfRule type="containsText" dxfId="356" priority="598" operator="containsText" text="x">
      <formula>NOT(ISERROR(SEARCH("x",AJ156)))</formula>
    </cfRule>
  </conditionalFormatting>
  <conditionalFormatting sqref="AJ158">
    <cfRule type="containsText" dxfId="355" priority="589" operator="containsText" text="-">
      <formula>NOT(ISERROR(SEARCH("-",AJ158)))</formula>
    </cfRule>
    <cfRule type="containsText" dxfId="354" priority="590" operator="containsText" text="x">
      <formula>NOT(ISERROR(SEARCH("x",AJ158)))</formula>
    </cfRule>
  </conditionalFormatting>
  <conditionalFormatting sqref="AJ159:AJ160">
    <cfRule type="containsText" dxfId="353" priority="595" operator="containsText" text="-">
      <formula>NOT(ISERROR(SEARCH("-",AJ159)))</formula>
    </cfRule>
    <cfRule type="containsText" dxfId="352" priority="596" operator="containsText" text="x">
      <formula>NOT(ISERROR(SEARCH("x",AJ159)))</formula>
    </cfRule>
  </conditionalFormatting>
  <conditionalFormatting sqref="AJ66:AK66">
    <cfRule type="containsText" dxfId="351" priority="637" operator="containsText" text="-">
      <formula>NOT(ISERROR(SEARCH("-",AJ66)))</formula>
    </cfRule>
    <cfRule type="containsText" dxfId="350" priority="638" operator="containsText" text="x">
      <formula>NOT(ISERROR(SEARCH("x",AJ66)))</formula>
    </cfRule>
  </conditionalFormatting>
  <conditionalFormatting sqref="AJ10:AL10">
    <cfRule type="containsText" dxfId="349" priority="222" operator="containsText" text="-">
      <formula>NOT(ISERROR(SEARCH("-",AJ10)))</formula>
    </cfRule>
    <cfRule type="containsText" dxfId="348" priority="223" operator="containsText" text="x">
      <formula>NOT(ISERROR(SEARCH("x",AJ10)))</formula>
    </cfRule>
  </conditionalFormatting>
  <conditionalFormatting sqref="AJ61:AL61">
    <cfRule type="containsText" dxfId="347" priority="360" operator="containsText" text="-">
      <formula>NOT(ISERROR(SEARCH("-",AJ61)))</formula>
    </cfRule>
    <cfRule type="containsText" dxfId="346" priority="361" operator="containsText" text="x">
      <formula>NOT(ISERROR(SEARCH("x",AJ61)))</formula>
    </cfRule>
  </conditionalFormatting>
  <conditionalFormatting sqref="AJ67:AL67">
    <cfRule type="containsText" dxfId="345" priority="460" operator="containsText" text="-">
      <formula>NOT(ISERROR(SEARCH("-",AJ67)))</formula>
    </cfRule>
    <cfRule type="containsText" dxfId="344" priority="461" operator="containsText" text="x">
      <formula>NOT(ISERROR(SEARCH("x",AJ67)))</formula>
    </cfRule>
  </conditionalFormatting>
  <conditionalFormatting sqref="AK61">
    <cfRule type="containsText" dxfId="343" priority="358" operator="containsText" text="-">
      <formula>NOT(ISERROR(SEARCH("-",AK61)))</formula>
    </cfRule>
    <cfRule type="containsText" dxfId="342" priority="359" operator="containsText" text="x">
      <formula>NOT(ISERROR(SEARCH("x",AK61)))</formula>
    </cfRule>
  </conditionalFormatting>
  <conditionalFormatting sqref="AK82:AK84">
    <cfRule type="containsText" dxfId="341" priority="324" operator="containsText" text="-">
      <formula>NOT(ISERROR(SEARCH("-",AK82)))</formula>
    </cfRule>
    <cfRule type="containsText" dxfId="340" priority="325" operator="containsText" text="x">
      <formula>NOT(ISERROR(SEARCH("x",AK82)))</formula>
    </cfRule>
  </conditionalFormatting>
  <conditionalFormatting sqref="AK84:AK85">
    <cfRule type="containsText" dxfId="339" priority="356" operator="containsText" text="-">
      <formula>NOT(ISERROR(SEARCH("-",AK84)))</formula>
    </cfRule>
    <cfRule type="containsText" dxfId="338" priority="357" operator="containsText" text="x">
      <formula>NOT(ISERROR(SEARCH("x",AK84)))</formula>
    </cfRule>
  </conditionalFormatting>
  <conditionalFormatting sqref="AK118">
    <cfRule type="containsText" dxfId="337" priority="350" operator="containsText" text="-">
      <formula>NOT(ISERROR(SEARCH("-",AK118)))</formula>
    </cfRule>
    <cfRule type="containsText" dxfId="336" priority="351" operator="containsText" text="x">
      <formula>NOT(ISERROR(SEARCH("x",AK118)))</formula>
    </cfRule>
  </conditionalFormatting>
  <conditionalFormatting sqref="AK158:AK160">
    <cfRule type="containsText" dxfId="335" priority="294" operator="containsText" text="-">
      <formula>NOT(ISERROR(SEARCH("-",AK158)))</formula>
    </cfRule>
    <cfRule type="containsText" dxfId="334" priority="295" operator="containsText" text="x">
      <formula>NOT(ISERROR(SEARCH("x",AK158)))</formula>
    </cfRule>
  </conditionalFormatting>
  <conditionalFormatting sqref="AK173">
    <cfRule type="containsText" dxfId="333" priority="314" operator="containsText" text="-">
      <formula>NOT(ISERROR(SEARCH("-",AK173)))</formula>
    </cfRule>
    <cfRule type="containsText" dxfId="332" priority="315" operator="containsText" text="x">
      <formula>NOT(ISERROR(SEARCH("x",AK173)))</formula>
    </cfRule>
  </conditionalFormatting>
  <conditionalFormatting sqref="AK6:AL8">
    <cfRule type="containsText" dxfId="331" priority="302" operator="containsText" text="-">
      <formula>NOT(ISERROR(SEARCH("-",AK6)))</formula>
    </cfRule>
    <cfRule type="containsText" dxfId="330" priority="303" operator="containsText" text="x">
      <formula>NOT(ISERROR(SEARCH("x",AK6)))</formula>
    </cfRule>
  </conditionalFormatting>
  <conditionalFormatting sqref="AL33">
    <cfRule type="containsText" dxfId="329" priority="226" operator="containsText" text="-">
      <formula>NOT(ISERROR(SEARCH("-",AL33)))</formula>
    </cfRule>
    <cfRule type="containsText" dxfId="328" priority="227" operator="containsText" text="x">
      <formula>NOT(ISERROR(SEARCH("x",AL33)))</formula>
    </cfRule>
  </conditionalFormatting>
  <conditionalFormatting sqref="AL66">
    <cfRule type="beginsWith" dxfId="327" priority="1446" operator="beginsWith" text="-">
      <formula>LEFT(AL66,LEN("-"))="-"</formula>
    </cfRule>
    <cfRule type="beginsWith" dxfId="326" priority="1447" operator="beginsWith" text="x">
      <formula>LEFT(AL66,LEN("x"))="x"</formula>
    </cfRule>
  </conditionalFormatting>
  <conditionalFormatting sqref="AL81:AL86">
    <cfRule type="containsText" dxfId="325" priority="276" operator="containsText" text="-">
      <formula>NOT(ISERROR(SEARCH("-",AL81)))</formula>
    </cfRule>
    <cfRule type="containsText" dxfId="324" priority="277" operator="containsText" text="x">
      <formula>NOT(ISERROR(SEARCH("x",AL81)))</formula>
    </cfRule>
  </conditionalFormatting>
  <conditionalFormatting sqref="AL119">
    <cfRule type="containsText" dxfId="323" priority="284" operator="containsText" text="-">
      <formula>NOT(ISERROR(SEARCH("-",AL119)))</formula>
    </cfRule>
    <cfRule type="containsText" dxfId="322" priority="285" operator="containsText" text="x">
      <formula>NOT(ISERROR(SEARCH("x",AL119)))</formula>
    </cfRule>
  </conditionalFormatting>
  <conditionalFormatting sqref="AL148">
    <cfRule type="containsText" dxfId="321" priority="288" operator="containsText" text="-">
      <formula>NOT(ISERROR(SEARCH("-",AL148)))</formula>
    </cfRule>
    <cfRule type="containsText" dxfId="320" priority="289" operator="containsText" text="x">
      <formula>NOT(ISERROR(SEARCH("x",AL148)))</formula>
    </cfRule>
  </conditionalFormatting>
  <conditionalFormatting sqref="AL159:AL160">
    <cfRule type="containsText" dxfId="319" priority="268" operator="containsText" text="-">
      <formula>NOT(ISERROR(SEARCH("-",AL159)))</formula>
    </cfRule>
    <cfRule type="containsText" dxfId="318" priority="269" operator="containsText" text="x">
      <formula>NOT(ISERROR(SEARCH("x",AL159)))</formula>
    </cfRule>
  </conditionalFormatting>
  <conditionalFormatting sqref="AL162">
    <cfRule type="containsText" dxfId="317" priority="212" operator="containsText" text="-">
      <formula>NOT(ISERROR(SEARCH("-",AL162)))</formula>
    </cfRule>
    <cfRule type="containsText" dxfId="316" priority="213" operator="containsText" text="x">
      <formula>NOT(ISERROR(SEARCH("x",AL162)))</formula>
    </cfRule>
  </conditionalFormatting>
  <conditionalFormatting sqref="AL120:AM120">
    <cfRule type="containsText" dxfId="315" priority="282" operator="containsText" text="-">
      <formula>NOT(ISERROR(SEARCH("-",AL120)))</formula>
    </cfRule>
    <cfRule type="containsText" dxfId="314" priority="283" operator="containsText" text="x">
      <formula>NOT(ISERROR(SEARCH("x",AL120)))</formula>
    </cfRule>
  </conditionalFormatting>
  <conditionalFormatting sqref="AM4">
    <cfRule type="beginsWith" dxfId="313" priority="141" operator="beginsWith" text="-">
      <formula>LEFT(AM4,LEN("-"))="-"</formula>
    </cfRule>
    <cfRule type="beginsWith" dxfId="312" priority="142" operator="beginsWith" text="x">
      <formula>LEFT(AM4,LEN("x"))="x"</formula>
    </cfRule>
  </conditionalFormatting>
  <conditionalFormatting sqref="AM14">
    <cfRule type="beginsWith" dxfId="311" priority="780" operator="beginsWith" text="-">
      <formula>LEFT(AM14,LEN("-"))="-"</formula>
    </cfRule>
    <cfRule type="beginsWith" dxfId="310" priority="781" operator="beginsWith" text="x">
      <formula>LEFT(AM14,LEN("x"))="x"</formula>
    </cfRule>
  </conditionalFormatting>
  <conditionalFormatting sqref="AM39">
    <cfRule type="beginsWith" dxfId="309" priority="483" operator="beginsWith" text="-">
      <formula>LEFT(AM39,LEN("-"))="-"</formula>
    </cfRule>
    <cfRule type="beginsWith" dxfId="308" priority="484" operator="beginsWith" text="x">
      <formula>LEFT(AM39,LEN("x"))="x"</formula>
    </cfRule>
  </conditionalFormatting>
  <conditionalFormatting sqref="AM45">
    <cfRule type="beginsWith" dxfId="307" priority="171" operator="beginsWith" text="-">
      <formula>LEFT(AM45,LEN("-"))="-"</formula>
    </cfRule>
    <cfRule type="beginsWith" dxfId="306" priority="172" operator="beginsWith" text="x">
      <formula>LEFT(AM45,LEN("x"))="x"</formula>
    </cfRule>
  </conditionalFormatting>
  <conditionalFormatting sqref="AM81">
    <cfRule type="containsText" dxfId="305" priority="278" operator="containsText" text="-">
      <formula>NOT(ISERROR(SEARCH("-",AM81)))</formula>
    </cfRule>
    <cfRule type="containsText" dxfId="304" priority="279" operator="containsText" text="x">
      <formula>NOT(ISERROR(SEARCH("x",AM81)))</formula>
    </cfRule>
  </conditionalFormatting>
  <conditionalFormatting sqref="AM86">
    <cfRule type="beginsWith" dxfId="303" priority="169" operator="beginsWith" text="-">
      <formula>LEFT(AM86,LEN("-"))="-"</formula>
    </cfRule>
    <cfRule type="beginsWith" dxfId="302" priority="170" operator="beginsWith" text="x">
      <formula>LEFT(AM86,LEN("x"))="x"</formula>
    </cfRule>
  </conditionalFormatting>
  <conditionalFormatting sqref="AM90">
    <cfRule type="beginsWith" dxfId="301" priority="173" operator="beginsWith" text="-">
      <formula>LEFT(AM90,LEN("-"))="-"</formula>
    </cfRule>
    <cfRule type="beginsWith" dxfId="300" priority="174" operator="beginsWith" text="x">
      <formula>LEFT(AM90,LEN("x"))="x"</formula>
    </cfRule>
  </conditionalFormatting>
  <conditionalFormatting sqref="AM119">
    <cfRule type="beginsWith" dxfId="299" priority="175" operator="beginsWith" text="-">
      <formula>LEFT(AM119,LEN("-"))="-"</formula>
    </cfRule>
    <cfRule type="beginsWith" dxfId="298" priority="176" operator="beginsWith" text="x">
      <formula>LEFT(AM119,LEN("x"))="x"</formula>
    </cfRule>
  </conditionalFormatting>
  <conditionalFormatting sqref="AM128:AM129">
    <cfRule type="beginsWith" dxfId="297" priority="183" operator="beginsWith" text="-">
      <formula>LEFT(AM128,LEN("-"))="-"</formula>
    </cfRule>
    <cfRule type="beginsWith" dxfId="296" priority="184" operator="beginsWith" text="x">
      <formula>LEFT(AM128,LEN("x"))="x"</formula>
    </cfRule>
  </conditionalFormatting>
  <conditionalFormatting sqref="AM133">
    <cfRule type="beginsWith" dxfId="295" priority="181" operator="beginsWith" text="-">
      <formula>LEFT(AM133,LEN("-"))="-"</formula>
    </cfRule>
    <cfRule type="beginsWith" dxfId="294" priority="182" operator="beginsWith" text="x">
      <formula>LEFT(AM133,LEN("x"))="x"</formula>
    </cfRule>
  </conditionalFormatting>
  <conditionalFormatting sqref="AM138">
    <cfRule type="beginsWith" dxfId="293" priority="179" operator="beginsWith" text="-">
      <formula>LEFT(AM138,LEN("-"))="-"</formula>
    </cfRule>
    <cfRule type="beginsWith" dxfId="292" priority="180" operator="beginsWith" text="x">
      <formula>LEFT(AM138,LEN("x"))="x"</formula>
    </cfRule>
  </conditionalFormatting>
  <conditionalFormatting sqref="AM164">
    <cfRule type="containsText" dxfId="291" priority="220" operator="containsText" text="-">
      <formula>NOT(ISERROR(SEARCH("-",AM164)))</formula>
    </cfRule>
    <cfRule type="containsText" dxfId="290" priority="221" operator="containsText" text="x">
      <formula>NOT(ISERROR(SEARCH("x",AM164)))</formula>
    </cfRule>
  </conditionalFormatting>
  <conditionalFormatting sqref="AM125:AN125">
    <cfRule type="beginsWith" dxfId="289" priority="177" operator="beginsWith" text="-">
      <formula>LEFT(AM125,LEN("-"))="-"</formula>
    </cfRule>
    <cfRule type="beginsWith" dxfId="288" priority="178" operator="beginsWith" text="x">
      <formula>LEFT(AM125,LEN("x"))="x"</formula>
    </cfRule>
  </conditionalFormatting>
  <conditionalFormatting sqref="AN42">
    <cfRule type="beginsWith" dxfId="287" priority="570" operator="beginsWith" text="-">
      <formula>LEFT(AN42,LEN("-"))="-"</formula>
    </cfRule>
  </conditionalFormatting>
  <conditionalFormatting sqref="AN59:AN60">
    <cfRule type="beginsWith" dxfId="286" priority="572" operator="beginsWith" text="-">
      <formula>LEFT(AN59,LEN("-"))="-"</formula>
    </cfRule>
  </conditionalFormatting>
  <conditionalFormatting sqref="AN64">
    <cfRule type="beginsWith" dxfId="285" priority="546" operator="beginsWith" text="-">
      <formula>LEFT(AN64,LEN("-"))="-"</formula>
    </cfRule>
  </conditionalFormatting>
  <conditionalFormatting sqref="AN68">
    <cfRule type="beginsWith" dxfId="284" priority="160" operator="beginsWith" text="-">
      <formula>LEFT(AN68,LEN("-"))="-"</formula>
    </cfRule>
  </conditionalFormatting>
  <conditionalFormatting sqref="AN77:AN78">
    <cfRule type="beginsWith" dxfId="283" priority="545" operator="beginsWith" text="-">
      <formula>LEFT(AN77,LEN("-"))="-"</formula>
    </cfRule>
  </conditionalFormatting>
  <conditionalFormatting sqref="AN83">
    <cfRule type="beginsWith" dxfId="282" priority="544" operator="beginsWith" text="-">
      <formula>LEFT(AN83,LEN("-"))="-"</formula>
    </cfRule>
  </conditionalFormatting>
  <conditionalFormatting sqref="AN94">
    <cfRule type="beginsWith" dxfId="281" priority="569" operator="beginsWith" text="-">
      <formula>LEFT(AN94,LEN("-"))="-"</formula>
    </cfRule>
  </conditionalFormatting>
  <conditionalFormatting sqref="AN98">
    <cfRule type="beginsWith" dxfId="280" priority="568" operator="beginsWith" text="-">
      <formula>LEFT(AN98,LEN("-"))="-"</formula>
    </cfRule>
  </conditionalFormatting>
  <conditionalFormatting sqref="AN100">
    <cfRule type="beginsWith" dxfId="279" priority="567" operator="beginsWith" text="-">
      <formula>LEFT(AN100,LEN("-"))="-"</formula>
    </cfRule>
  </conditionalFormatting>
  <conditionalFormatting sqref="AN106">
    <cfRule type="beginsWith" dxfId="278" priority="566" operator="beginsWith" text="-">
      <formula>LEFT(AN106,LEN("-"))="-"</formula>
    </cfRule>
  </conditionalFormatting>
  <conditionalFormatting sqref="AN116">
    <cfRule type="beginsWith" dxfId="277" priority="485" operator="beginsWith" text="-">
      <formula>LEFT(AN116,LEN("-"))="-"</formula>
    </cfRule>
  </conditionalFormatting>
  <conditionalFormatting sqref="AN131">
    <cfRule type="beginsWith" dxfId="276" priority="487" operator="beginsWith" text="-">
      <formula>LEFT(AN131,LEN("-"))="-"</formula>
    </cfRule>
  </conditionalFormatting>
  <conditionalFormatting sqref="AN133">
    <cfRule type="beginsWith" dxfId="275" priority="190" operator="beginsWith" text="x">
      <formula>LEFT(AN133,LEN("x"))="x"</formula>
    </cfRule>
  </conditionalFormatting>
  <conditionalFormatting sqref="AN138">
    <cfRule type="beginsWith" dxfId="274" priority="188" operator="beginsWith" text="x">
      <formula>LEFT(AN138,LEN("x"))="x"</formula>
    </cfRule>
  </conditionalFormatting>
  <conditionalFormatting sqref="AN142">
    <cfRule type="beginsWith" dxfId="273" priority="560" operator="beginsWith" text="x">
      <formula>LEFT(AN142,LEN("x"))="x"</formula>
    </cfRule>
  </conditionalFormatting>
  <conditionalFormatting sqref="AN144">
    <cfRule type="beginsWith" dxfId="272" priority="558" operator="beginsWith" text="x">
      <formula>LEFT(AN144,LEN("x"))="x"</formula>
    </cfRule>
  </conditionalFormatting>
  <conditionalFormatting sqref="AN145:AN146">
    <cfRule type="beginsWith" dxfId="271" priority="489" operator="beginsWith" text="-">
      <formula>LEFT(AN145,LEN("-"))="-"</formula>
    </cfRule>
  </conditionalFormatting>
  <conditionalFormatting sqref="AN158:AN160">
    <cfRule type="beginsWith" dxfId="270" priority="542" operator="beginsWith" text="-">
      <formula>LEFT(AN158,LEN("-"))="-"</formula>
    </cfRule>
  </conditionalFormatting>
  <conditionalFormatting sqref="AN172">
    <cfRule type="beginsWith" dxfId="269" priority="164" operator="beginsWith" text="x">
      <formula>LEFT(AN172,LEN("x"))="x"</formula>
    </cfRule>
  </conditionalFormatting>
  <conditionalFormatting sqref="AN173">
    <cfRule type="beginsWith" dxfId="268" priority="157" operator="beginsWith" text="-">
      <formula>LEFT(AN173,LEN("-"))="-"</formula>
    </cfRule>
    <cfRule type="beginsWith" dxfId="267" priority="158" operator="beginsWith" text="x">
      <formula>LEFT(AN173,LEN("x"))="x"</formula>
    </cfRule>
  </conditionalFormatting>
  <conditionalFormatting sqref="AN174">
    <cfRule type="beginsWith" dxfId="266" priority="162" operator="beginsWith" text="x">
      <formula>LEFT(AN174,LEN("x"))="x"</formula>
    </cfRule>
  </conditionalFormatting>
  <conditionalFormatting sqref="AN167:AO167">
    <cfRule type="beginsWith" dxfId="265" priority="165" operator="beginsWith" text="-">
      <formula>LEFT(AN167,LEN("-"))="-"</formula>
    </cfRule>
    <cfRule type="beginsWith" dxfId="264" priority="166" operator="beginsWith" text="x">
      <formula>LEFT(AN167,LEN("x"))="x"</formula>
    </cfRule>
  </conditionalFormatting>
  <conditionalFormatting sqref="AN166:AP166">
    <cfRule type="beginsWith" dxfId="263" priority="547" operator="beginsWith" text="-">
      <formula>LEFT(AN166,LEN("-"))="-"</formula>
    </cfRule>
    <cfRule type="beginsWith" dxfId="262" priority="551" operator="beginsWith" text="x">
      <formula>LEFT(AN166,LEN("x"))="x"</formula>
    </cfRule>
  </conditionalFormatting>
  <conditionalFormatting sqref="AN50:AQ50">
    <cfRule type="beginsWith" dxfId="261" priority="167" operator="beginsWith" text="-">
      <formula>LEFT(AN50,LEN("-"))="-"</formula>
    </cfRule>
    <cfRule type="beginsWith" dxfId="260" priority="168" operator="beginsWith" text="x">
      <formula>LEFT(AN50,LEN("x"))="x"</formula>
    </cfRule>
  </conditionalFormatting>
  <conditionalFormatting sqref="AN132:AQ133">
    <cfRule type="beginsWith" dxfId="259" priority="189" operator="beginsWith" text="-">
      <formula>LEFT(AN132,LEN("-"))="-"</formula>
    </cfRule>
  </conditionalFormatting>
  <conditionalFormatting sqref="AN135:AQ137 AO138:AQ138 AN139:AQ141">
    <cfRule type="beginsWith" dxfId="258" priority="562" operator="beginsWith" text="x">
      <formula>LEFT(AN135,LEN("x"))="x"</formula>
    </cfRule>
  </conditionalFormatting>
  <conditionalFormatting sqref="AN135:AQ149">
    <cfRule type="beginsWith" dxfId="257" priority="187" operator="beginsWith" text="-">
      <formula>LEFT(AN135,LEN("-"))="-"</formula>
    </cfRule>
  </conditionalFormatting>
  <conditionalFormatting sqref="AN1:AZ3 AR4 AX4 AS50:AZ50 AN157:AQ159 AX157:AZ159 AM174 AN122:AZ124 AO125:AZ125 AX132:AZ147 AN161:AZ161 AO142:AQ142 AN143:AQ143 AO144:AQ144 AN145:AQ149 AN150:AZ151 AN169:AZ171 AN155:AT156 AQ166:AQ167 AN160:AT160 AO121:AZ121 AN127:AZ127 AO133:AQ133 AO172:AZ174 AN175:AZ1048576 AO126:AQ126 AS126:AZ126 AN130:AQ132 AS130:AZ131 AN163:AZ163 AN162:AQ162 AS162:AZ162 AN168:AQ168 AS168:AZ168">
    <cfRule type="beginsWith" dxfId="256" priority="1566" operator="beginsWith" text="x">
      <formula>LEFT(AM1,LEN("x"))="x"</formula>
    </cfRule>
  </conditionalFormatting>
  <conditionalFormatting sqref="AN1:AZ3 AR4 AX4 AS50:AZ50 AN157:AQ159 AX157:AZ159">
    <cfRule type="beginsWith" dxfId="255" priority="1565" operator="beginsWith" text="-">
      <formula>LEFT(AN1,LEN("-"))="-"</formula>
    </cfRule>
  </conditionalFormatting>
  <conditionalFormatting sqref="AN5:AZ10 B19 B35 B43 B45:B47 AN51:AZ51 B59:B61 B116:B118 AP131:AP140 B131:B162 AN150:AZ156 AN13:AZ18 AN20:AZ20 AN19:AQ19 AS19:AZ19 AN22:AZ22 AN21:AQ21 AT21:AZ21 AN23:AQ23 AS23:AZ23 AN24:AZ49 AN53:AZ57 AN52:AQ52 AS52:AZ52 AN59:AZ59 AN58:AQ58 AS58:AZ58 AN60:AQ60 AS60:AZ60 AN61:AZ81 AN11:AQ12 AS11:AZ12 AN83:AZ84 AN82:AQ82 AS82:AZ82 AN86:AZ87 AN85:AQ85 AS85:AZ85 AN89:AZ97 AN88:AQ88 AS88:AZ88 AN98:AQ98 AS98:AZ98 AN99:AZ117 AN119:AZ120 AN118:AQ118 AS118:AZ118">
    <cfRule type="beginsWith" dxfId="254" priority="240" operator="beginsWith" text="-">
      <formula>LEFT(B5,LEN("-"))="-"</formula>
    </cfRule>
  </conditionalFormatting>
  <conditionalFormatting sqref="AN51:AZ51 AN5:AZ10 AN13:AZ18 AN20:AZ20 AN19:AQ19 AS19:AZ19 AN22:AZ22 AN21:AQ21 AT21:AZ21 AN23:AQ23 AS23:AZ23 AN24:AZ49 AN53:AZ57 AN52:AQ52 AS52:AZ52 AN59:AZ59 AN58:AQ58 AS58:AZ58 AN60:AQ60 AS60:AZ60 AN61:AZ81 AN11:AQ12 AS11:AZ12 AN83:AZ84 AN82:AQ82 AS82:AZ82 AN86:AZ87 AN85:AQ85 AS85:AZ85 AN89:AZ97 AN88:AQ88 AS88:AZ88 AN98:AQ98 AS98:AZ98 AN99:AZ117 AN119:AZ120 AN118:AQ118 AS118:AZ118">
    <cfRule type="beginsWith" dxfId="253" priority="564" operator="beginsWith" text="x">
      <formula>LEFT(AN5,LEN("x"))="x"</formula>
    </cfRule>
  </conditionalFormatting>
  <conditionalFormatting sqref="AN127:AZ129 AN130:AQ131 AS130:AZ131">
    <cfRule type="beginsWith" dxfId="252" priority="191" operator="beginsWith" text="-">
      <formula>LEFT(AN127,LEN("-"))="-"</formula>
    </cfRule>
  </conditionalFormatting>
  <conditionalFormatting sqref="AN128:AZ129">
    <cfRule type="beginsWith" dxfId="251" priority="192" operator="beginsWith" text="x">
      <formula>LEFT(AN128,LEN("x"))="x"</formula>
    </cfRule>
  </conditionalFormatting>
  <conditionalFormatting sqref="AN152:AZ154">
    <cfRule type="beginsWith" dxfId="250" priority="1394" operator="beginsWith" text="x">
      <formula>LEFT(AN152,LEN("x"))="x"</formula>
    </cfRule>
  </conditionalFormatting>
  <conditionalFormatting sqref="AN160:AZ161 AN163:AZ165 AN162:AQ162 AS162:AZ162">
    <cfRule type="beginsWith" dxfId="249" priority="496" operator="beginsWith" text="-">
      <formula>LEFT(AN160,LEN("-"))="-"</formula>
    </cfRule>
  </conditionalFormatting>
  <conditionalFormatting sqref="AN169:AZ1048576 AN168:AQ168 AS168:AZ168">
    <cfRule type="beginsWith" dxfId="248" priority="159" operator="beginsWith" text="-">
      <formula>LEFT(AN168,LEN("-"))="-"</formula>
    </cfRule>
  </conditionalFormatting>
  <conditionalFormatting sqref="AO134:AW134">
    <cfRule type="beginsWith" dxfId="247" priority="1503" operator="beginsWith" text="-">
      <formula>LEFT(AO134,LEN("-"))="-"</formula>
    </cfRule>
    <cfRule type="beginsWith" dxfId="246" priority="1504" operator="beginsWith" text="x">
      <formula>LEFT(AO134,LEN("x"))="x"</formula>
    </cfRule>
  </conditionalFormatting>
  <conditionalFormatting sqref="AO121:AZ121">
    <cfRule type="beginsWith" dxfId="245" priority="515" operator="beginsWith" text="-">
      <formula>LEFT(AO121,LEN("-"))="-"</formula>
    </cfRule>
  </conditionalFormatting>
  <conditionalFormatting sqref="AP72">
    <cfRule type="beginsWith" dxfId="244" priority="1476" operator="beginsWith" text="-">
      <formula>LEFT(AP72,LEN("-"))="-"</formula>
    </cfRule>
  </conditionalFormatting>
  <conditionalFormatting sqref="AP142:AP144">
    <cfRule type="beginsWith" dxfId="243" priority="1462" operator="beginsWith" text="-">
      <formula>LEFT(AP142,LEN("-"))="-"</formula>
    </cfRule>
  </conditionalFormatting>
  <conditionalFormatting sqref="AP146">
    <cfRule type="beginsWith" dxfId="242" priority="1452" operator="beginsWith" text="-">
      <formula>LEFT(AP146,LEN("-"))="-"</formula>
    </cfRule>
  </conditionalFormatting>
  <conditionalFormatting sqref="AP148:AP150">
    <cfRule type="beginsWith" dxfId="241" priority="1459" operator="beginsWith" text="-">
      <formula>LEFT(AP148,LEN("-"))="-"</formula>
    </cfRule>
  </conditionalFormatting>
  <conditionalFormatting sqref="AP167">
    <cfRule type="containsText" dxfId="240" priority="1450" operator="containsText" text="-">
      <formula>NOT(ISERROR(SEARCH("-",AP167)))</formula>
    </cfRule>
    <cfRule type="containsText" dxfId="239" priority="1451" operator="containsText" text="x">
      <formula>NOT(ISERROR(SEARCH("x",AP167)))</formula>
    </cfRule>
  </conditionalFormatting>
  <conditionalFormatting sqref="AQ33">
    <cfRule type="beginsWith" dxfId="238" priority="1265" operator="beginsWith" text="-">
      <formula>LEFT(AQ33,LEN("-"))="-"</formula>
    </cfRule>
  </conditionalFormatting>
  <conditionalFormatting sqref="AQ145">
    <cfRule type="beginsWith" dxfId="237" priority="1264" operator="beginsWith" text="-">
      <formula>LEFT(AQ145,LEN("-"))="-"</formula>
    </cfRule>
  </conditionalFormatting>
  <conditionalFormatting sqref="AQ166:AQ167">
    <cfRule type="beginsWith" dxfId="236" priority="1263" operator="beginsWith" text="-">
      <formula>LEFT(AQ166,LEN("-"))="-"</formula>
    </cfRule>
  </conditionalFormatting>
  <conditionalFormatting sqref="AR45:AR46">
    <cfRule type="beginsWith" dxfId="235" priority="1322" operator="beginsWith" text="-">
      <formula>LEFT(AR45,LEN("-"))="-"</formula>
    </cfRule>
  </conditionalFormatting>
  <conditionalFormatting sqref="AR66">
    <cfRule type="beginsWith" dxfId="234" priority="1399" operator="beginsWith" text="-">
      <formula>LEFT(AR66,LEN("-"))="-"</formula>
    </cfRule>
  </conditionalFormatting>
  <conditionalFormatting sqref="AT132:AW132 AR133:AW133">
    <cfRule type="containsText" dxfId="233" priority="1507" operator="containsText" text="-">
      <formula>NOT(ISERROR(SEARCH("-",AR132)))</formula>
    </cfRule>
    <cfRule type="containsText" dxfId="232" priority="1508" operator="containsText" text="x">
      <formula>NOT(ISERROR(SEARCH("x",AR132)))</formula>
    </cfRule>
  </conditionalFormatting>
  <conditionalFormatting sqref="AR61:AS62">
    <cfRule type="beginsWith" dxfId="231" priority="1261" operator="beginsWith" text="-">
      <formula>LEFT(AR61,LEN("-"))="-"</formula>
    </cfRule>
  </conditionalFormatting>
  <conditionalFormatting sqref="AR167:AS167 AV167:AZ167">
    <cfRule type="containsText" dxfId="230" priority="1448" operator="containsText" text="-">
      <formula>NOT(ISERROR(SEARCH("-",AR167)))</formula>
    </cfRule>
    <cfRule type="containsText" dxfId="229" priority="1449" operator="containsText" text="x">
      <formula>NOT(ISERROR(SEARCH("x",AR167)))</formula>
    </cfRule>
  </conditionalFormatting>
  <conditionalFormatting sqref="AR92:AT92">
    <cfRule type="beginsWith" dxfId="228" priority="923" operator="beginsWith" text="-">
      <formula>LEFT(AR92,LEN("-"))="-"</formula>
    </cfRule>
  </conditionalFormatting>
  <conditionalFormatting sqref="AR8:AU8">
    <cfRule type="beginsWith" dxfId="227" priority="1385" operator="beginsWith" text="-">
      <formula>LEFT(AR8,LEN("-"))="-"</formula>
    </cfRule>
  </conditionalFormatting>
  <conditionalFormatting sqref="AR25:AU25">
    <cfRule type="beginsWith" dxfId="226" priority="1387" operator="beginsWith" text="-">
      <formula>LEFT(AR25,LEN("-"))="-"</formula>
    </cfRule>
  </conditionalFormatting>
  <conditionalFormatting sqref="AS52:AU52">
    <cfRule type="beginsWith" dxfId="225" priority="479" operator="beginsWith" text="-">
      <formula>LEFT(AS52,LEN("-"))="-"</formula>
    </cfRule>
  </conditionalFormatting>
  <conditionalFormatting sqref="AR59:AU59 AS60:AU60">
    <cfRule type="beginsWith" dxfId="224" priority="926" operator="beginsWith" text="-">
      <formula>LEFT(AR59,LEN("-"))="-"</formula>
    </cfRule>
  </conditionalFormatting>
  <conditionalFormatting sqref="AR68:AU68">
    <cfRule type="beginsWith" dxfId="223" priority="1390" operator="beginsWith" text="-">
      <formula>LEFT(AR68,LEN("-"))="-"</formula>
    </cfRule>
  </conditionalFormatting>
  <conditionalFormatting sqref="AR84:AU84">
    <cfRule type="beginsWith" dxfId="222" priority="925" operator="beginsWith" text="-">
      <formula>LEFT(AR84,LEN("-"))="-"</formula>
    </cfRule>
  </conditionalFormatting>
  <conditionalFormatting sqref="AR87:AU87">
    <cfRule type="beginsWith" dxfId="221" priority="924" operator="beginsWith" text="-">
      <formula>LEFT(AR87,LEN("-"))="-"</formula>
    </cfRule>
  </conditionalFormatting>
  <conditionalFormatting sqref="AS131:AU131">
    <cfRule type="beginsWith" dxfId="220" priority="1494" operator="beginsWith" text="-">
      <formula>LEFT(AS131,LEN("-"))="-"</formula>
    </cfRule>
  </conditionalFormatting>
  <conditionalFormatting sqref="AR141:AU141">
    <cfRule type="beginsWith" dxfId="219" priority="1397" operator="beginsWith" text="-">
      <formula>LEFT(AR141,LEN("-"))="-"</formula>
    </cfRule>
    <cfRule type="beginsWith" dxfId="218" priority="1398" operator="beginsWith" text="x">
      <formula>LEFT(AR141,LEN("x"))="x"</formula>
    </cfRule>
  </conditionalFormatting>
  <conditionalFormatting sqref="AR161:AU161 AS162:AU162">
    <cfRule type="beginsWith" dxfId="217" priority="1482" operator="beginsWith" text="-">
      <formula>LEFT(AR161,LEN("-"))="-"</formula>
    </cfRule>
  </conditionalFormatting>
  <conditionalFormatting sqref="AR14:AV14">
    <cfRule type="beginsWith" dxfId="216" priority="1417" operator="beginsWith" text="-">
      <formula>LEFT(AR14,LEN("-"))="-"</formula>
    </cfRule>
  </conditionalFormatting>
  <conditionalFormatting sqref="AS19:AV19">
    <cfRule type="beginsWith" dxfId="215" priority="1484" operator="beginsWith" text="-">
      <formula>LEFT(AS19,LEN("-"))="-"</formula>
    </cfRule>
  </conditionalFormatting>
  <conditionalFormatting sqref="AR149:AZ149 AS148:AZ148">
    <cfRule type="beginsWith" dxfId="214" priority="1395" operator="beginsWith" text="-">
      <formula>LEFT(AR148,LEN("-"))="-"</formula>
    </cfRule>
    <cfRule type="beginsWith" dxfId="213" priority="1396" operator="beginsWith" text="x">
      <formula>LEFT(AR148,LEN("x"))="x"</formula>
    </cfRule>
  </conditionalFormatting>
  <conditionalFormatting sqref="AR166:AZ166 AN164:AZ165">
    <cfRule type="beginsWith" dxfId="212" priority="1272" operator="beginsWith" text="x">
      <formula>LEFT(AN164,LEN("x"))="x"</formula>
    </cfRule>
  </conditionalFormatting>
  <conditionalFormatting sqref="AR166:AZ166">
    <cfRule type="beginsWith" dxfId="211" priority="1271" operator="beginsWith" text="-">
      <formula>LEFT(AR166,LEN("-"))="-"</formula>
    </cfRule>
  </conditionalFormatting>
  <conditionalFormatting sqref="AS46">
    <cfRule type="beginsWith" dxfId="210" priority="1262" operator="beginsWith" text="-">
      <formula>LEFT(AS46,LEN("-"))="-"</formula>
    </cfRule>
  </conditionalFormatting>
  <conditionalFormatting sqref="AS97">
    <cfRule type="beginsWith" dxfId="209" priority="539" operator="beginsWith" text="-">
      <formula>LEFT(AS97,LEN("-"))="-"</formula>
    </cfRule>
  </conditionalFormatting>
  <conditionalFormatting sqref="AS132">
    <cfRule type="beginsWith" dxfId="208" priority="1288" operator="beginsWith" text="-">
      <formula>LEFT(AS132,LEN("-"))="-"</formula>
    </cfRule>
    <cfRule type="beginsWith" dxfId="207" priority="1289" operator="beginsWith" text="x">
      <formula>LEFT(AS132,LEN("x"))="x"</formula>
    </cfRule>
  </conditionalFormatting>
  <conditionalFormatting sqref="AS140">
    <cfRule type="beginsWith" dxfId="206" priority="1286" operator="beginsWith" text="-">
      <formula>LEFT(AS140,LEN("-"))="-"</formula>
    </cfRule>
    <cfRule type="beginsWith" dxfId="205" priority="1287" operator="beginsWith" text="x">
      <formula>LEFT(AS140,LEN("x"))="x"</formula>
    </cfRule>
  </conditionalFormatting>
  <conditionalFormatting sqref="AS143">
    <cfRule type="beginsWith" dxfId="204" priority="1284" operator="beginsWith" text="-">
      <formula>LEFT(AS143,LEN("-"))="-"</formula>
    </cfRule>
    <cfRule type="beginsWith" dxfId="203" priority="1285" operator="beginsWith" text="x">
      <formula>LEFT(AS143,LEN("x"))="x"</formula>
    </cfRule>
  </conditionalFormatting>
  <conditionalFormatting sqref="AS145">
    <cfRule type="beginsWith" dxfId="202" priority="1282" operator="beginsWith" text="-">
      <formula>LEFT(AS145,LEN("-"))="-"</formula>
    </cfRule>
    <cfRule type="beginsWith" dxfId="201" priority="1283" operator="beginsWith" text="x">
      <formula>LEFT(AS145,LEN("x"))="x"</formula>
    </cfRule>
  </conditionalFormatting>
  <conditionalFormatting sqref="AS154">
    <cfRule type="beginsWith" dxfId="200" priority="1280" operator="beginsWith" text="-">
      <formula>LEFT(AS154,LEN("-"))="-"</formula>
    </cfRule>
  </conditionalFormatting>
  <conditionalFormatting sqref="AS156:AS159">
    <cfRule type="beginsWith" dxfId="199" priority="1273" operator="beginsWith" text="-">
      <formula>LEFT(AS156,LEN("-"))="-"</formula>
    </cfRule>
  </conditionalFormatting>
  <conditionalFormatting sqref="AS157:AS159">
    <cfRule type="beginsWith" dxfId="198" priority="1274" operator="beginsWith" text="x">
      <formula>LEFT(AS157,LEN("x"))="x"</formula>
    </cfRule>
  </conditionalFormatting>
  <conditionalFormatting sqref="AS10:AT10">
    <cfRule type="beginsWith" dxfId="197" priority="1269" operator="beginsWith" text="-">
      <formula>LEFT(AS10,LEN("-"))="-"</formula>
    </cfRule>
  </conditionalFormatting>
  <conditionalFormatting sqref="AS17:AT17">
    <cfRule type="beginsWith" dxfId="196" priority="916" operator="beginsWith" text="-">
      <formula>LEFT(AS17,LEN("-"))="-"</formula>
    </cfRule>
  </conditionalFormatting>
  <conditionalFormatting sqref="AT21">
    <cfRule type="beginsWith" dxfId="195" priority="936" operator="beginsWith" text="-">
      <formula>LEFT(AT21,LEN("-"))="-"</formula>
    </cfRule>
  </conditionalFormatting>
  <conditionalFormatting sqref="AT40">
    <cfRule type="beginsWith" dxfId="194" priority="1013" operator="beginsWith" text="-">
      <formula>LEFT(AT40,LEN("-"))="-"</formula>
    </cfRule>
  </conditionalFormatting>
  <conditionalFormatting sqref="AT61">
    <cfRule type="beginsWith" dxfId="193" priority="915" operator="beginsWith" text="-">
      <formula>LEFT(AT61,LEN("-"))="-"</formula>
    </cfRule>
  </conditionalFormatting>
  <conditionalFormatting sqref="AT70">
    <cfRule type="beginsWith" dxfId="192" priority="912" operator="beginsWith" text="-">
      <formula>LEFT(AT70,LEN("-"))="-"</formula>
    </cfRule>
  </conditionalFormatting>
  <conditionalFormatting sqref="AT124:AT126">
    <cfRule type="beginsWith" dxfId="191" priority="979" operator="beginsWith" text="-">
      <formula>LEFT(AT124,LEN("-"))="-"</formula>
    </cfRule>
  </conditionalFormatting>
  <conditionalFormatting sqref="AT158:AT159">
    <cfRule type="beginsWith" dxfId="190" priority="957" operator="beginsWith" text="x">
      <formula>LEFT(AT158,LEN("x"))="x"</formula>
    </cfRule>
  </conditionalFormatting>
  <conditionalFormatting sqref="AT158:AT160">
    <cfRule type="beginsWith" dxfId="189" priority="953" operator="beginsWith" text="-">
      <formula>LEFT(AT158,LEN("-"))="-"</formula>
    </cfRule>
  </conditionalFormatting>
  <conditionalFormatting sqref="AT167">
    <cfRule type="beginsWith" dxfId="188" priority="952" operator="beginsWith" text="x">
      <formula>LEFT(AT167,LEN("x"))="x"</formula>
    </cfRule>
  </conditionalFormatting>
  <conditionalFormatting sqref="AT167:AT169">
    <cfRule type="beginsWith" dxfId="187" priority="919" operator="beginsWith" text="-">
      <formula>LEFT(AT167,LEN("-"))="-"</formula>
    </cfRule>
  </conditionalFormatting>
  <conditionalFormatting sqref="AT33:AU33">
    <cfRule type="beginsWith" dxfId="186" priority="1014" operator="beginsWith" text="-">
      <formula>LEFT(AT33,LEN("-"))="-"</formula>
    </cfRule>
  </conditionalFormatting>
  <conditionalFormatting sqref="AT36:AU36">
    <cfRule type="beginsWith" dxfId="185" priority="480" operator="beginsWith" text="-">
      <formula>LEFT(AT36,LEN("-"))="-"</formula>
    </cfRule>
  </conditionalFormatting>
  <conditionalFormatting sqref="AT64:AU65">
    <cfRule type="beginsWith" dxfId="184" priority="524" operator="beginsWith" text="-">
      <formula>LEFT(AT64,LEN("-"))="-"</formula>
    </cfRule>
  </conditionalFormatting>
  <conditionalFormatting sqref="AT73:AU73">
    <cfRule type="beginsWith" dxfId="183" priority="523" operator="beginsWith" text="-">
      <formula>LEFT(AT73,LEN("-"))="-"</formula>
    </cfRule>
  </conditionalFormatting>
  <conditionalFormatting sqref="AT78:AU78">
    <cfRule type="beginsWith" dxfId="182" priority="1003" operator="beginsWith" text="-">
      <formula>LEFT(AT78,LEN("-"))="-"</formula>
    </cfRule>
  </conditionalFormatting>
  <conditionalFormatting sqref="AT94:AU94">
    <cfRule type="beginsWith" dxfId="181" priority="1001" operator="beginsWith" text="-">
      <formula>LEFT(AT94,LEN("-"))="-"</formula>
    </cfRule>
  </conditionalFormatting>
  <conditionalFormatting sqref="AT97:AU98">
    <cfRule type="beginsWith" dxfId="180" priority="522" operator="beginsWith" text="-">
      <formula>LEFT(AT97,LEN("-"))="-"</formula>
    </cfRule>
  </conditionalFormatting>
  <conditionalFormatting sqref="AT100:AU100">
    <cfRule type="beginsWith" dxfId="179" priority="914" operator="beginsWith" text="-">
      <formula>LEFT(AT100,LEN("-"))="-"</formula>
    </cfRule>
  </conditionalFormatting>
  <conditionalFormatting sqref="AT102:AU102">
    <cfRule type="beginsWith" dxfId="178" priority="490" operator="beginsWith" text="-">
      <formula>LEFT(AT102,LEN("-"))="-"</formula>
    </cfRule>
  </conditionalFormatting>
  <conditionalFormatting sqref="AT106:AU106">
    <cfRule type="beginsWith" dxfId="177" priority="995" operator="beginsWith" text="-">
      <formula>LEFT(AT106,LEN("-"))="-"</formula>
    </cfRule>
  </conditionalFormatting>
  <conditionalFormatting sqref="AT112:AU112">
    <cfRule type="beginsWith" dxfId="176" priority="520" operator="beginsWith" text="-">
      <formula>LEFT(AT112,LEN("-"))="-"</formula>
    </cfRule>
  </conditionalFormatting>
  <conditionalFormatting sqref="AT135:AU135">
    <cfRule type="beginsWith" dxfId="175" priority="508" operator="beginsWith" text="-">
      <formula>LEFT(AT135,LEN("-"))="-"</formula>
    </cfRule>
    <cfRule type="beginsWith" dxfId="174" priority="510" operator="beginsWith" text="x">
      <formula>LEFT(AT135,LEN("x"))="x"</formula>
    </cfRule>
  </conditionalFormatting>
  <conditionalFormatting sqref="AT142:AU142">
    <cfRule type="beginsWith" dxfId="173" priority="971" operator="beginsWith" text="-">
      <formula>LEFT(AT142,LEN("-"))="-"</formula>
    </cfRule>
    <cfRule type="beginsWith" dxfId="172" priority="973" operator="beginsWith" text="x">
      <formula>LEFT(AT142,LEN("x"))="x"</formula>
    </cfRule>
  </conditionalFormatting>
  <conditionalFormatting sqref="AT144:AU144">
    <cfRule type="beginsWith" dxfId="171" priority="506" operator="beginsWith" text="-">
      <formula>LEFT(AT144,LEN("-"))="-"</formula>
    </cfRule>
    <cfRule type="beginsWith" dxfId="170" priority="507" operator="beginsWith" text="x">
      <formula>LEFT(AT144,LEN("x"))="x"</formula>
    </cfRule>
  </conditionalFormatting>
  <conditionalFormatting sqref="AT147:AU147">
    <cfRule type="beginsWith" dxfId="169" priority="504" operator="beginsWith" text="-">
      <formula>LEFT(AT147,LEN("-"))="-"</formula>
    </cfRule>
    <cfRule type="beginsWith" dxfId="168" priority="505" operator="beginsWith" text="x">
      <formula>LEFT(AT147,LEN("x"))="x"</formula>
    </cfRule>
  </conditionalFormatting>
  <conditionalFormatting sqref="AT26:AV26">
    <cfRule type="beginsWith" dxfId="167" priority="536" operator="beginsWith" text="-">
      <formula>LEFT(AT26,LEN("-"))="-"</formula>
    </cfRule>
  </conditionalFormatting>
  <conditionalFormatting sqref="AT30:AV30">
    <cfRule type="beginsWith" dxfId="166" priority="534" operator="beginsWith" text="-">
      <formula>LEFT(AT30,LEN("-"))="-"</formula>
    </cfRule>
  </conditionalFormatting>
  <conditionalFormatting sqref="AT42:AV42">
    <cfRule type="beginsWith" dxfId="165" priority="1012" operator="beginsWith" text="-">
      <formula>LEFT(AT42,LEN("-"))="-"</formula>
    </cfRule>
  </conditionalFormatting>
  <conditionalFormatting sqref="AT45:AV45">
    <cfRule type="beginsWith" dxfId="164" priority="532" operator="beginsWith" text="-">
      <formula>LEFT(AT45,LEN("-"))="-"</formula>
    </cfRule>
  </conditionalFormatting>
  <conditionalFormatting sqref="AT157:AW157 AR157:AR158 AV158:AW158 AV159">
    <cfRule type="containsText" dxfId="163" priority="1505" operator="containsText" text="-">
      <formula>NOT(ISERROR(SEARCH("-",AR157)))</formula>
    </cfRule>
    <cfRule type="containsText" dxfId="162" priority="1506" operator="containsText" text="x">
      <formula>NOT(ISERROR(SEARCH("x",AR157)))</formula>
    </cfRule>
  </conditionalFormatting>
  <conditionalFormatting sqref="AU20:AU21">
    <cfRule type="beginsWith" dxfId="161" priority="481" operator="beginsWith" text="-">
      <formula>LEFT(AU20,LEN("-"))="-"</formula>
    </cfRule>
  </conditionalFormatting>
  <conditionalFormatting sqref="AU75">
    <cfRule type="beginsWith" dxfId="160" priority="478" operator="beginsWith" text="-">
      <formula>LEFT(AU75,LEN("-"))="-"</formula>
    </cfRule>
  </conditionalFormatting>
  <conditionalFormatting sqref="AU96">
    <cfRule type="beginsWith" dxfId="159" priority="477" operator="beginsWith" text="-">
      <formula>LEFT(AU96,LEN("-"))="-"</formula>
    </cfRule>
  </conditionalFormatting>
  <conditionalFormatting sqref="AU124:AU127">
    <cfRule type="beginsWith" dxfId="158" priority="511" operator="beginsWith" text="-">
      <formula>LEFT(AU124,LEN("-"))="-"</formula>
    </cfRule>
  </conditionalFormatting>
  <conditionalFormatting sqref="AU158:AU159">
    <cfRule type="beginsWith" dxfId="157" priority="494" operator="beginsWith" text="-">
      <formula>LEFT(AU158,LEN("-"))="-"</formula>
    </cfRule>
    <cfRule type="beginsWith" dxfId="156" priority="495" operator="beginsWith" text="x">
      <formula>LEFT(AU158,LEN("x"))="x"</formula>
    </cfRule>
  </conditionalFormatting>
  <conditionalFormatting sqref="AU167">
    <cfRule type="beginsWith" dxfId="155" priority="493" operator="beginsWith" text="x">
      <formula>LEFT(AU167,LEN("x"))="x"</formula>
    </cfRule>
  </conditionalFormatting>
  <conditionalFormatting sqref="AU167:AU168">
    <cfRule type="beginsWith" dxfId="154" priority="492" operator="beginsWith" text="-">
      <formula>LEFT(AU167,LEN("-"))="-"</formula>
    </cfRule>
  </conditionalFormatting>
  <conditionalFormatting sqref="AU155:AZ156">
    <cfRule type="beginsWith" dxfId="153" priority="501" operator="beginsWith" text="x">
      <formula>LEFT(AU155,LEN("x"))="x"</formula>
    </cfRule>
  </conditionalFormatting>
  <conditionalFormatting sqref="AU160:AZ160">
    <cfRule type="beginsWith" dxfId="152" priority="497" operator="beginsWith" text="x">
      <formula>LEFT(AU160,LEN("x"))="x"</formula>
    </cfRule>
  </conditionalFormatting>
  <conditionalFormatting sqref="AV59:AV61">
    <cfRule type="beginsWith" dxfId="151" priority="529" operator="beginsWith" text="-">
      <formula>LEFT(AV59,LEN("-"))="-"</formula>
    </cfRule>
  </conditionalFormatting>
  <conditionalFormatting sqref="AV63:AV65">
    <cfRule type="beginsWith" dxfId="150" priority="525" operator="beginsWith" text="-">
      <formula>LEFT(AV63,LEN("-"))="-"</formula>
    </cfRule>
  </conditionalFormatting>
  <conditionalFormatting sqref="AW8">
    <cfRule type="beginsWith" dxfId="149" priority="1372" operator="beginsWith" text="-">
      <formula>LEFT(AW8,LEN("-"))="-"</formula>
    </cfRule>
  </conditionalFormatting>
  <conditionalFormatting sqref="AW17">
    <cfRule type="beginsWith" dxfId="148" priority="1373" operator="beginsWith" text="-">
      <formula>LEFT(AW17,LEN("-"))="-"</formula>
    </cfRule>
  </conditionalFormatting>
  <conditionalFormatting sqref="AW53">
    <cfRule type="beginsWith" dxfId="147" priority="1374" operator="beginsWith" text="-">
      <formula>LEFT(AW53,LEN("-"))="-"</formula>
    </cfRule>
  </conditionalFormatting>
  <conditionalFormatting sqref="AW63">
    <cfRule type="beginsWith" dxfId="146" priority="1416" operator="beginsWith" text="-">
      <formula>LEFT(AW63,LEN("-"))="-"</formula>
    </cfRule>
  </conditionalFormatting>
  <conditionalFormatting sqref="AW83">
    <cfRule type="beginsWith" dxfId="145" priority="1415" operator="beginsWith" text="-">
      <formula>LEFT(AW83,LEN("-"))="-"</formula>
    </cfRule>
  </conditionalFormatting>
  <conditionalFormatting sqref="AW93">
    <cfRule type="beginsWith" dxfId="144" priority="1414" operator="beginsWith" text="-">
      <formula>LEFT(AW93,LEN("-"))="-"</formula>
    </cfRule>
  </conditionalFormatting>
  <conditionalFormatting sqref="AW96">
    <cfRule type="beginsWith" dxfId="143" priority="1413" operator="beginsWith" text="-">
      <formula>LEFT(AW96,LEN("-"))="-"</formula>
    </cfRule>
  </conditionalFormatting>
  <conditionalFormatting sqref="AW103">
    <cfRule type="beginsWith" dxfId="142" priority="1371" operator="beginsWith" text="-">
      <formula>LEFT(AW103,LEN("-"))="-"</formula>
    </cfRule>
  </conditionalFormatting>
  <conditionalFormatting sqref="AW109">
    <cfRule type="beginsWith" dxfId="141" priority="1411" operator="beginsWith" text="-">
      <formula>LEFT(AW109,LEN("-"))="-"</formula>
    </cfRule>
  </conditionalFormatting>
  <conditionalFormatting sqref="AW111">
    <cfRule type="beginsWith" dxfId="140" priority="1410" operator="beginsWith" text="-">
      <formula>LEFT(AW111,LEN("-"))="-"</formula>
    </cfRule>
  </conditionalFormatting>
  <conditionalFormatting sqref="AW113">
    <cfRule type="beginsWith" dxfId="139" priority="1409" operator="beginsWith" text="-">
      <formula>LEFT(AW113,LEN("-"))="-"</formula>
    </cfRule>
  </conditionalFormatting>
  <conditionalFormatting sqref="AW118">
    <cfRule type="beginsWith" dxfId="138" priority="1408" operator="beginsWith" text="-">
      <formula>LEFT(AW118,LEN("-"))="-"</formula>
    </cfRule>
  </conditionalFormatting>
  <conditionalFormatting sqref="AW126">
    <cfRule type="beginsWith" dxfId="137" priority="1407" operator="beginsWith" text="-">
      <formula>LEFT(AW126,LEN("-"))="-"</formula>
    </cfRule>
  </conditionalFormatting>
  <conditionalFormatting sqref="AW135">
    <cfRule type="beginsWith" dxfId="136" priority="1352" operator="beginsWith" text="-">
      <formula>LEFT(AW135,LEN("-"))="-"</formula>
    </cfRule>
    <cfRule type="beginsWith" dxfId="135" priority="1353" operator="beginsWith" text="x">
      <formula>LEFT(AW135,LEN("x"))="x"</formula>
    </cfRule>
  </conditionalFormatting>
  <conditionalFormatting sqref="AW145">
    <cfRule type="beginsWith" dxfId="134" priority="1405" operator="beginsWith" text="-">
      <formula>LEFT(AW145,LEN("-"))="-"</formula>
    </cfRule>
    <cfRule type="beginsWith" dxfId="133" priority="1406" operator="beginsWith" text="x">
      <formula>LEFT(AW145,LEN("x"))="x"</formula>
    </cfRule>
  </conditionalFormatting>
  <conditionalFormatting sqref="AW159">
    <cfRule type="beginsWith" dxfId="132" priority="1403" operator="beginsWith" text="-">
      <formula>LEFT(AW159,LEN("-"))="-"</formula>
    </cfRule>
    <cfRule type="beginsWith" dxfId="131" priority="1404" operator="beginsWith" text="x">
      <formula>LEFT(AW159,LEN("x"))="x"</formula>
    </cfRule>
  </conditionalFormatting>
  <conditionalFormatting sqref="AW162">
    <cfRule type="beginsWith" dxfId="130" priority="1368" operator="beginsWith" text="-">
      <formula>LEFT(AW162,LEN("-"))="-"</formula>
    </cfRule>
  </conditionalFormatting>
  <conditionalFormatting sqref="AZ36">
    <cfRule type="beginsWith" dxfId="129" priority="1321" operator="beginsWith" text="-">
      <formula>LEFT(AZ36,LEN("-"))="-"</formula>
    </cfRule>
  </conditionalFormatting>
  <conditionalFormatting sqref="AZ75">
    <cfRule type="beginsWith" dxfId="128" priority="1318" operator="beginsWith" text="-">
      <formula>LEFT(AZ75,LEN("-"))="-"</formula>
    </cfRule>
  </conditionalFormatting>
  <conditionalFormatting sqref="AZ79">
    <cfRule type="beginsWith" dxfId="127" priority="1319" operator="beginsWith" text="-">
      <formula>LEFT(AZ79,LEN("-"))="-"</formula>
    </cfRule>
  </conditionalFormatting>
  <conditionalFormatting sqref="AA39">
    <cfRule type="containsText" dxfId="126" priority="91" operator="containsText" text="-">
      <formula>NOT(ISERROR(SEARCH("-",AA39)))</formula>
    </cfRule>
    <cfRule type="containsText" dxfId="125" priority="92" operator="containsText" text="x">
      <formula>NOT(ISERROR(SEARCH("x",AA39)))</formula>
    </cfRule>
  </conditionalFormatting>
  <conditionalFormatting sqref="AA55">
    <cfRule type="containsText" dxfId="124" priority="89" operator="containsText" text="-">
      <formula>NOT(ISERROR(SEARCH("-",AA55)))</formula>
    </cfRule>
    <cfRule type="containsText" dxfId="123" priority="90" operator="containsText" text="x">
      <formula>NOT(ISERROR(SEARCH("x",AA55)))</formula>
    </cfRule>
  </conditionalFormatting>
  <conditionalFormatting sqref="AA70">
    <cfRule type="containsText" dxfId="122" priority="87" operator="containsText" text="-">
      <formula>NOT(ISERROR(SEARCH("-",AA70)))</formula>
    </cfRule>
    <cfRule type="containsText" dxfId="121" priority="88" operator="containsText" text="x">
      <formula>NOT(ISERROR(SEARCH("x",AA70)))</formula>
    </cfRule>
  </conditionalFormatting>
  <conditionalFormatting sqref="AA77">
    <cfRule type="containsText" dxfId="120" priority="85" operator="containsText" text="-">
      <formula>NOT(ISERROR(SEARCH("-",AA77)))</formula>
    </cfRule>
    <cfRule type="containsText" dxfId="119" priority="86" operator="containsText" text="x">
      <formula>NOT(ISERROR(SEARCH("x",AA77)))</formula>
    </cfRule>
  </conditionalFormatting>
  <conditionalFormatting sqref="AA85">
    <cfRule type="containsText" dxfId="118" priority="83" operator="containsText" text="-">
      <formula>NOT(ISERROR(SEARCH("-",AA85)))</formula>
    </cfRule>
    <cfRule type="containsText" dxfId="117" priority="84" operator="containsText" text="x">
      <formula>NOT(ISERROR(SEARCH("x",AA85)))</formula>
    </cfRule>
  </conditionalFormatting>
  <conditionalFormatting sqref="AA132">
    <cfRule type="containsText" dxfId="116" priority="81" operator="containsText" text="-">
      <formula>NOT(ISERROR(SEARCH("-",AA132)))</formula>
    </cfRule>
    <cfRule type="containsText" dxfId="115" priority="82" operator="containsText" text="x">
      <formula>NOT(ISERROR(SEARCH("x",AA132)))</formula>
    </cfRule>
  </conditionalFormatting>
  <conditionalFormatting sqref="AA137">
    <cfRule type="containsText" dxfId="114" priority="79" operator="containsText" text="-">
      <formula>NOT(ISERROR(SEARCH("-",AA137)))</formula>
    </cfRule>
    <cfRule type="containsText" dxfId="113" priority="80" operator="containsText" text="x">
      <formula>NOT(ISERROR(SEARCH("x",AA137)))</formula>
    </cfRule>
  </conditionalFormatting>
  <conditionalFormatting sqref="AA148">
    <cfRule type="containsText" dxfId="112" priority="77" operator="containsText" text="-">
      <formula>NOT(ISERROR(SEARCH("-",AA148)))</formula>
    </cfRule>
    <cfRule type="containsText" dxfId="111" priority="78" operator="containsText" text="x">
      <formula>NOT(ISERROR(SEARCH("x",AA148)))</formula>
    </cfRule>
  </conditionalFormatting>
  <conditionalFormatting sqref="AA159">
    <cfRule type="containsText" dxfId="110" priority="75" operator="containsText" text="-">
      <formula>NOT(ISERROR(SEARCH("-",AA159)))</formula>
    </cfRule>
    <cfRule type="containsText" dxfId="109" priority="76" operator="containsText" text="x">
      <formula>NOT(ISERROR(SEARCH("x",AA159)))</formula>
    </cfRule>
  </conditionalFormatting>
  <conditionalFormatting sqref="AA162">
    <cfRule type="containsText" dxfId="108" priority="73" operator="containsText" text="-">
      <formula>NOT(ISERROR(SEARCH("-",AA162)))</formula>
    </cfRule>
    <cfRule type="containsText" dxfId="107" priority="74" operator="containsText" text="x">
      <formula>NOT(ISERROR(SEARCH("x",AA162)))</formula>
    </cfRule>
  </conditionalFormatting>
  <conditionalFormatting sqref="AA135">
    <cfRule type="containsText" dxfId="106" priority="71" operator="containsText" text="-">
      <formula>NOT(ISERROR(SEARCH("-",AA135)))</formula>
    </cfRule>
    <cfRule type="containsText" dxfId="105" priority="72" operator="containsText" text="x">
      <formula>NOT(ISERROR(SEARCH("x",AA135)))</formula>
    </cfRule>
  </conditionalFormatting>
  <conditionalFormatting sqref="AA168">
    <cfRule type="containsText" dxfId="104" priority="69" operator="containsText" text="-">
      <formula>NOT(ISERROR(SEARCH("-",AA168)))</formula>
    </cfRule>
    <cfRule type="containsText" dxfId="103" priority="70" operator="containsText" text="x">
      <formula>NOT(ISERROR(SEARCH("x",AA168)))</formula>
    </cfRule>
  </conditionalFormatting>
  <conditionalFormatting sqref="AA52">
    <cfRule type="containsText" dxfId="102" priority="67" operator="containsText" text="-">
      <formula>NOT(ISERROR(SEARCH("-",AA52)))</formula>
    </cfRule>
    <cfRule type="containsText" dxfId="101" priority="68" operator="containsText" text="x">
      <formula>NOT(ISERROR(SEARCH("x",AA52)))</formula>
    </cfRule>
  </conditionalFormatting>
  <conditionalFormatting sqref="AA34">
    <cfRule type="containsText" dxfId="100" priority="65" operator="containsText" text="-">
      <formula>NOT(ISERROR(SEARCH("-",AA34)))</formula>
    </cfRule>
    <cfRule type="containsText" dxfId="99" priority="66" operator="containsText" text="x">
      <formula>NOT(ISERROR(SEARCH("x",AA34)))</formula>
    </cfRule>
  </conditionalFormatting>
  <conditionalFormatting sqref="AA98">
    <cfRule type="containsText" dxfId="98" priority="63" operator="containsText" text="-">
      <formula>NOT(ISERROR(SEARCH("-",AA98)))</formula>
    </cfRule>
    <cfRule type="containsText" dxfId="97" priority="64" operator="containsText" text="x">
      <formula>NOT(ISERROR(SEARCH("x",AA98)))</formula>
    </cfRule>
  </conditionalFormatting>
  <conditionalFormatting sqref="AA88">
    <cfRule type="containsText" dxfId="96" priority="61" operator="containsText" text="-">
      <formula>NOT(ISERROR(SEARCH("-",AA88)))</formula>
    </cfRule>
    <cfRule type="containsText" dxfId="95" priority="62" operator="containsText" text="x">
      <formula>NOT(ISERROR(SEARCH("x",AA88)))</formula>
    </cfRule>
  </conditionalFormatting>
  <conditionalFormatting sqref="AA118">
    <cfRule type="containsText" dxfId="94" priority="59" operator="containsText" text="-">
      <formula>NOT(ISERROR(SEARCH("-",AA118)))</formula>
    </cfRule>
    <cfRule type="containsText" dxfId="93" priority="60" operator="containsText" text="x">
      <formula>NOT(ISERROR(SEARCH("x",AA118)))</formula>
    </cfRule>
  </conditionalFormatting>
  <conditionalFormatting sqref="AA112">
    <cfRule type="containsText" dxfId="92" priority="57" operator="containsText" text="-">
      <formula>NOT(ISERROR(SEARCH("-",AA112)))</formula>
    </cfRule>
    <cfRule type="containsText" dxfId="91" priority="58" operator="containsText" text="x">
      <formula>NOT(ISERROR(SEARCH("x",AA112)))</formula>
    </cfRule>
  </conditionalFormatting>
  <conditionalFormatting sqref="AR12">
    <cfRule type="containsText" dxfId="90" priority="55" operator="containsText" text="-">
      <formula>NOT(ISERROR(SEARCH("-",AR12)))</formula>
    </cfRule>
    <cfRule type="containsText" dxfId="89" priority="56" operator="containsText" text="x">
      <formula>NOT(ISERROR(SEARCH("x",AR12)))</formula>
    </cfRule>
  </conditionalFormatting>
  <conditionalFormatting sqref="AR19">
    <cfRule type="containsText" dxfId="88" priority="53" operator="containsText" text="-">
      <formula>NOT(ISERROR(SEARCH("-",AR19)))</formula>
    </cfRule>
    <cfRule type="containsText" dxfId="87" priority="54" operator="containsText" text="x">
      <formula>NOT(ISERROR(SEARCH("x",AR19)))</formula>
    </cfRule>
  </conditionalFormatting>
  <conditionalFormatting sqref="AR21">
    <cfRule type="containsText" dxfId="86" priority="51" operator="containsText" text="-">
      <formula>NOT(ISERROR(SEARCH("-",AR21)))</formula>
    </cfRule>
    <cfRule type="containsText" dxfId="85" priority="52" operator="containsText" text="x">
      <formula>NOT(ISERROR(SEARCH("x",AR21)))</formula>
    </cfRule>
  </conditionalFormatting>
  <conditionalFormatting sqref="AS21">
    <cfRule type="containsText" dxfId="84" priority="49" operator="containsText" text="-">
      <formula>NOT(ISERROR(SEARCH("-",AS21)))</formula>
    </cfRule>
    <cfRule type="containsText" dxfId="83" priority="50" operator="containsText" text="x">
      <formula>NOT(ISERROR(SEARCH("x",AS21)))</formula>
    </cfRule>
  </conditionalFormatting>
  <conditionalFormatting sqref="AR23">
    <cfRule type="containsText" dxfId="82" priority="47" operator="containsText" text="-">
      <formula>NOT(ISERROR(SEARCH("-",AR23)))</formula>
    </cfRule>
    <cfRule type="containsText" dxfId="81" priority="48" operator="containsText" text="x">
      <formula>NOT(ISERROR(SEARCH("x",AR23)))</formula>
    </cfRule>
  </conditionalFormatting>
  <conditionalFormatting sqref="AR52">
    <cfRule type="containsText" dxfId="80" priority="45" operator="containsText" text="-">
      <formula>NOT(ISERROR(SEARCH("-",AR52)))</formula>
    </cfRule>
    <cfRule type="containsText" dxfId="79" priority="46" operator="containsText" text="x">
      <formula>NOT(ISERROR(SEARCH("x",AR52)))</formula>
    </cfRule>
  </conditionalFormatting>
  <conditionalFormatting sqref="AR58">
    <cfRule type="containsText" dxfId="78" priority="39" operator="containsText" text="-">
      <formula>NOT(ISERROR(SEARCH("-",AR58)))</formula>
    </cfRule>
    <cfRule type="containsText" dxfId="77" priority="40" operator="containsText" text="x">
      <formula>NOT(ISERROR(SEARCH("x",AR58)))</formula>
    </cfRule>
  </conditionalFormatting>
  <conditionalFormatting sqref="AR60">
    <cfRule type="containsText" dxfId="76" priority="37" operator="containsText" text="-">
      <formula>NOT(ISERROR(SEARCH("-",AR60)))</formula>
    </cfRule>
    <cfRule type="containsText" dxfId="75" priority="38" operator="containsText" text="x">
      <formula>NOT(ISERROR(SEARCH("x",AR60)))</formula>
    </cfRule>
  </conditionalFormatting>
  <conditionalFormatting sqref="AR11">
    <cfRule type="beginsWith" dxfId="74" priority="31" operator="beginsWith" text="-">
      <formula>LEFT(AR11,LEN("-"))="-"</formula>
    </cfRule>
  </conditionalFormatting>
  <conditionalFormatting sqref="AR11">
    <cfRule type="beginsWith" dxfId="73" priority="32" operator="beginsWith" text="x">
      <formula>LEFT(AR11,LEN("x"))="x"</formula>
    </cfRule>
  </conditionalFormatting>
  <conditionalFormatting sqref="AR82">
    <cfRule type="beginsWith" dxfId="72" priority="30" operator="beginsWith" text="x">
      <formula>LEFT(AR82,LEN("x"))="x"</formula>
    </cfRule>
  </conditionalFormatting>
  <conditionalFormatting sqref="AR82">
    <cfRule type="beginsWith" dxfId="71" priority="29" operator="beginsWith" text="-">
      <formula>LEFT(AR82,LEN("-"))="-"</formula>
    </cfRule>
  </conditionalFormatting>
  <conditionalFormatting sqref="AR85">
    <cfRule type="beginsWith" dxfId="70" priority="28" operator="beginsWith" text="x">
      <formula>LEFT(AR85,LEN("x"))="x"</formula>
    </cfRule>
  </conditionalFormatting>
  <conditionalFormatting sqref="AR85">
    <cfRule type="beginsWith" dxfId="69" priority="27" operator="beginsWith" text="-">
      <formula>LEFT(AR85,LEN("-"))="-"</formula>
    </cfRule>
  </conditionalFormatting>
  <conditionalFormatting sqref="AR88">
    <cfRule type="beginsWith" dxfId="68" priority="26" operator="beginsWith" text="x">
      <formula>LEFT(AR88,LEN("x"))="x"</formula>
    </cfRule>
  </conditionalFormatting>
  <conditionalFormatting sqref="AR88">
    <cfRule type="beginsWith" dxfId="67" priority="25" operator="beginsWith" text="-">
      <formula>LEFT(AR88,LEN("-"))="-"</formula>
    </cfRule>
  </conditionalFormatting>
  <conditionalFormatting sqref="AR98">
    <cfRule type="containsText" dxfId="66" priority="23" operator="containsText" text="-">
      <formula>NOT(ISERROR(SEARCH("-",AR98)))</formula>
    </cfRule>
    <cfRule type="containsText" dxfId="65" priority="24" operator="containsText" text="x">
      <formula>NOT(ISERROR(SEARCH("x",AR98)))</formula>
    </cfRule>
  </conditionalFormatting>
  <conditionalFormatting sqref="AR118">
    <cfRule type="beginsWith" dxfId="64" priority="22" operator="beginsWith" text="x">
      <formula>LEFT(AR118,LEN("x"))="x"</formula>
    </cfRule>
  </conditionalFormatting>
  <conditionalFormatting sqref="AR118">
    <cfRule type="beginsWith" dxfId="63" priority="21" operator="beginsWith" text="-">
      <formula>LEFT(AR118,LEN("-"))="-"</formula>
    </cfRule>
  </conditionalFormatting>
  <conditionalFormatting sqref="AR126">
    <cfRule type="containsText" dxfId="62" priority="19" operator="containsText" text="-">
      <formula>NOT(ISERROR(SEARCH("-",AR126)))</formula>
    </cfRule>
    <cfRule type="containsText" dxfId="61" priority="20" operator="containsText" text="x">
      <formula>NOT(ISERROR(SEARCH("x",AR126)))</formula>
    </cfRule>
  </conditionalFormatting>
  <conditionalFormatting sqref="AR130">
    <cfRule type="beginsWith" dxfId="60" priority="18" operator="beginsWith" text="x">
      <formula>LEFT(AR130,LEN("x"))="x"</formula>
    </cfRule>
  </conditionalFormatting>
  <conditionalFormatting sqref="AR130">
    <cfRule type="beginsWith" dxfId="59" priority="17" operator="beginsWith" text="-">
      <formula>LEFT(AR130,LEN("-"))="-"</formula>
    </cfRule>
  </conditionalFormatting>
  <conditionalFormatting sqref="AR131">
    <cfRule type="beginsWith" dxfId="58" priority="15" operator="beginsWith" text="-">
      <formula>LEFT(AR131,LEN("-"))="-"</formula>
    </cfRule>
  </conditionalFormatting>
  <conditionalFormatting sqref="AR131">
    <cfRule type="beginsWith" dxfId="57" priority="16" operator="beginsWith" text="x">
      <formula>LEFT(AR131,LEN("x"))="x"</formula>
    </cfRule>
  </conditionalFormatting>
  <conditionalFormatting sqref="AR132">
    <cfRule type="containsText" dxfId="56" priority="13" operator="containsText" text="-">
      <formula>NOT(ISERROR(SEARCH("-",AR132)))</formula>
    </cfRule>
    <cfRule type="containsText" dxfId="55" priority="14" operator="containsText" text="x">
      <formula>NOT(ISERROR(SEARCH("x",AR132)))</formula>
    </cfRule>
  </conditionalFormatting>
  <conditionalFormatting sqref="AR135">
    <cfRule type="containsText" dxfId="54" priority="11" operator="containsText" text="-">
      <formula>NOT(ISERROR(SEARCH("-",AR135)))</formula>
    </cfRule>
    <cfRule type="containsText" dxfId="53" priority="12" operator="containsText" text="x">
      <formula>NOT(ISERROR(SEARCH("x",AR135)))</formula>
    </cfRule>
  </conditionalFormatting>
  <conditionalFormatting sqref="AR137">
    <cfRule type="containsText" dxfId="52" priority="9" operator="containsText" text="-">
      <formula>NOT(ISERROR(SEARCH("-",AR137)))</formula>
    </cfRule>
    <cfRule type="containsText" dxfId="51" priority="10" operator="containsText" text="x">
      <formula>NOT(ISERROR(SEARCH("x",AR137)))</formula>
    </cfRule>
  </conditionalFormatting>
  <conditionalFormatting sqref="AR148">
    <cfRule type="beginsWith" dxfId="50" priority="7" operator="beginsWith" text="-">
      <formula>LEFT(AR148,LEN("-"))="-"</formula>
    </cfRule>
  </conditionalFormatting>
  <conditionalFormatting sqref="AR148">
    <cfRule type="beginsWith" dxfId="49" priority="8" operator="beginsWith" text="x">
      <formula>LEFT(AR148,LEN("x"))="x"</formula>
    </cfRule>
  </conditionalFormatting>
  <conditionalFormatting sqref="AR159">
    <cfRule type="beginsWith" dxfId="48" priority="5" operator="beginsWith" text="-">
      <formula>LEFT(AR159,LEN("-"))="-"</formula>
    </cfRule>
  </conditionalFormatting>
  <conditionalFormatting sqref="AR159">
    <cfRule type="beginsWith" dxfId="47" priority="6" operator="beginsWith" text="x">
      <formula>LEFT(AR159,LEN("x"))="x"</formula>
    </cfRule>
  </conditionalFormatting>
  <conditionalFormatting sqref="AR162">
    <cfRule type="beginsWith" dxfId="46" priority="3" operator="beginsWith" text="-">
      <formula>LEFT(AR162,LEN("-"))="-"</formula>
    </cfRule>
  </conditionalFormatting>
  <conditionalFormatting sqref="AR162">
    <cfRule type="beginsWith" dxfId="45" priority="4" operator="beginsWith" text="x">
      <formula>LEFT(AR162,LEN("x"))="x"</formula>
    </cfRule>
  </conditionalFormatting>
  <conditionalFormatting sqref="AR168">
    <cfRule type="containsText" dxfId="44" priority="1" operator="containsText" text="-">
      <formula>NOT(ISERROR(SEARCH("-",AR168)))</formula>
    </cfRule>
    <cfRule type="containsText" dxfId="43" priority="2" operator="containsText" text="x">
      <formula>NOT(ISERROR(SEARCH("x",AR168)))</formula>
    </cfRule>
  </conditionalFormatting>
  <dataValidations count="2">
    <dataValidation type="list" allowBlank="1" showInputMessage="1" showErrorMessage="1" sqref="B174 B176:B248" xr:uid="{4265FA51-2302-4B35-9245-D1CA0C5FC375}">
      <formula1>$C$5:$C$5</formula1>
    </dataValidation>
    <dataValidation allowBlank="1" showInputMessage="1" showErrorMessage="1" sqref="P6:R176" xr:uid="{BE485155-1AFA-4382-98BE-F4067446BE63}"/>
  </dataValidations>
  <hyperlinks>
    <hyperlink ref="G19" r:id="rId1" xr:uid="{F9661B55-E49E-41BE-A465-9087965CFEAC}"/>
    <hyperlink ref="G22" r:id="rId2" xr:uid="{87394ED5-DBBE-43A2-A92C-AE02C6A51EF8}"/>
    <hyperlink ref="G20" r:id="rId3" xr:uid="{B71DD383-E432-49BD-AC55-D181E535E091}"/>
    <hyperlink ref="G23" r:id="rId4" xr:uid="{13A113A5-46DB-44B7-BD2C-E929463A139A}"/>
    <hyperlink ref="G24" r:id="rId5" xr:uid="{2817CD81-80AC-4C69-BF6B-6E98FE969EA4}"/>
    <hyperlink ref="G26" r:id="rId6" xr:uid="{4D58BDD9-8860-4F32-A846-8DCD2EC64492}"/>
    <hyperlink ref="G27" r:id="rId7" xr:uid="{AA15CAB2-F40C-450E-AEA8-135ABABF4C34}"/>
    <hyperlink ref="G29" r:id="rId8" xr:uid="{414E0C8B-2E30-4A9F-A5FA-5C8C34649DF3}"/>
    <hyperlink ref="G30" r:id="rId9" xr:uid="{99D0E3E1-D58B-4787-8128-542719AAFB1B}"/>
    <hyperlink ref="G32" r:id="rId10" xr:uid="{3547AF80-E2D8-479B-B553-6E1A28705AD4}"/>
    <hyperlink ref="G33" r:id="rId11" xr:uid="{6AAA8C6D-F14F-482A-9189-8D50D1CCB2CC}"/>
    <hyperlink ref="G154" r:id="rId12" xr:uid="{41CB1232-2B87-45F1-B06D-424F36AA26E2}"/>
    <hyperlink ref="G46" r:id="rId13" xr:uid="{65150442-8EE9-4FE8-B775-F325B92DE5C1}"/>
    <hyperlink ref="G165" r:id="rId14" xr:uid="{AD217BED-17B1-4C6E-8354-1B2251A45FAF}"/>
    <hyperlink ref="H172" r:id="rId15" display="TNCONCEPT@hotmail.com" xr:uid="{4A9FD7CD-6D85-424B-8989-7A054F6F92D6}"/>
    <hyperlink ref="G147" r:id="rId16" xr:uid="{4107DE0E-61C3-4D63-8F19-78912A9E6EEB}"/>
    <hyperlink ref="G150" r:id="rId17" xr:uid="{A2580EAA-F521-4E1D-8B27-957F4F52D0AF}"/>
    <hyperlink ref="G79" r:id="rId18" xr:uid="{C54940E2-C328-4FD3-9BBA-4E3AF867C23A}"/>
    <hyperlink ref="G134" r:id="rId19" xr:uid="{4D1E39C1-ECAA-446F-8C0B-F73ECE2EBD54}"/>
    <hyperlink ref="G151" r:id="rId20" xr:uid="{A026D248-3C79-4DB6-9731-11CF9339E298}"/>
    <hyperlink ref="G156" r:id="rId21" xr:uid="{5365BA3E-7BA2-4F75-84F4-9E4AED41B0D3}"/>
    <hyperlink ref="G173" r:id="rId22" xr:uid="{74C104E0-BC6A-40C8-8229-6FD48C6E62D4}"/>
    <hyperlink ref="G25" r:id="rId23" xr:uid="{4BA3E539-AC75-4CE4-B5AD-CF85490A0140}"/>
    <hyperlink ref="G87" r:id="rId24" xr:uid="{8B779001-8C54-4CF6-9EEB-14DA23CDD30E}"/>
    <hyperlink ref="G42" r:id="rId25" xr:uid="{8AA77047-F747-45A0-BFAB-2D1FE3146EDB}"/>
    <hyperlink ref="G100" r:id="rId26" xr:uid="{10ECC508-E7ED-4E65-892D-CC2AC44E1C71}"/>
    <hyperlink ref="G64" r:id="rId27" xr:uid="{E5780390-B559-4CED-965A-6DD472AFA2B8}"/>
    <hyperlink ref="G95" r:id="rId28" xr:uid="{0372479E-910D-4C71-955A-5B8A9508D4D3}"/>
    <hyperlink ref="G35" r:id="rId29" xr:uid="{6FD29F73-C211-4157-B8CF-97ADA1A9A490}"/>
    <hyperlink ref="G63" r:id="rId30" xr:uid="{3849373B-A4EA-49E8-B6ED-DF534619ACEC}"/>
    <hyperlink ref="G66" r:id="rId31" xr:uid="{056305CC-7429-4035-98D7-6BA282A4CAC4}"/>
    <hyperlink ref="G71" r:id="rId32" xr:uid="{578DB139-3BB1-4B59-8346-B21ADA7D2840}"/>
    <hyperlink ref="G110" r:id="rId33" xr:uid="{CC68567C-8086-4F20-9DF8-B469C18BD185}"/>
    <hyperlink ref="G124" r:id="rId34" xr:uid="{C220A6CC-10ED-4448-A5EC-7E09AB386E38}"/>
    <hyperlink ref="G106" r:id="rId35" xr:uid="{39570976-104D-4100-A072-9FB48B048F41}"/>
  </hyperlinks>
  <pageMargins left="0.7" right="0.7" top="0.75" bottom="0.75" header="0.3" footer="0.3"/>
  <pageSetup paperSize="9" fitToHeight="0" orientation="portrait"/>
  <legacyDrawing r:id="rId3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47" operator="containsText" id="{AB67905D-C729-4543-9F7A-41B2E3884403}">
            <xm:f>NOT(ISERROR(SEARCH('Paramétrage fichier'!$B$8,B1)))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1564" operator="containsText" id="{7F3A106C-CC1A-4B0B-9E7B-F187750F819A}">
            <xm:f>NOT(ISERROR(SEARCH('Paramétrage fichier'!$B$8,B1)))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B1:B1048576 C5 C17 C19:C22 C131:C161</xm:sqref>
        </x14:conditionalFormatting>
        <x14:conditionalFormatting xmlns:xm="http://schemas.microsoft.com/office/excel/2006/main">
          <x14:cfRule type="containsText" priority="1542" operator="containsText" id="{30488DBF-4AD6-4A99-8358-E6A3438B280A}">
            <xm:f>NOT(ISERROR(SEARCH('Paramétrage fichier'!$B$2,B12)))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B12 B54:C54 B59:B61 B116:B118</xm:sqref>
        </x14:conditionalFormatting>
        <x14:conditionalFormatting xmlns:xm="http://schemas.microsoft.com/office/excel/2006/main">
          <x14:cfRule type="containsText" priority="241" operator="containsText" id="{719C3293-F143-4351-9D9B-A83DFBF26FF7}">
            <xm:f>NOT(ISERROR(SEARCH('Paramétrage fichier'!$B$2,B19)))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containsText" priority="1212" operator="containsText" id="{29A3A469-6CBA-47D6-929E-61E6DA522C44}">
            <xm:f>NOT(ISERROR(SEARCH('Paramétrage fichier'!$B$2,B26)))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B26 B30 B32:B33 B39:B40 B42:B43 B56 B64:B65 B77:B78 B84 B87 B92 B94 B97:B98 B100 B102 B106 B112 B121 B124:B127 B129 B166:B168 B45:B47</xm:sqref>
        </x14:conditionalFormatting>
        <x14:conditionalFormatting xmlns:xm="http://schemas.microsoft.com/office/excel/2006/main">
          <x14:cfRule type="containsText" priority="242" operator="containsText" id="{90279E95-09D8-4750-9875-7461E005C087}">
            <xm:f>NOT(ISERROR(SEARCH('Paramétrage fichier'!$B$2,B34)))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containsText" priority="243" operator="containsText" id="{D13ADB12-AFF4-4514-9786-EAE09A900F8E}">
            <xm:f>NOT(ISERROR(SEARCH('Paramétrage fichier'!$B$2,B41)))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containsText" priority="1518" operator="containsText" id="{534C945B-C416-41CB-98CC-43D528692E4A}">
            <xm:f>NOT(ISERROR(SEARCH('Paramétrage fichier'!$B$2,B54)))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containsText" priority="239" operator="containsText" id="{9665F8E9-AEB8-4BA0-AE51-9FE323B27C75}">
            <xm:f>NOT(ISERROR(SEARCH('Paramétrage fichier'!$B$2,B71)))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B71</xm:sqref>
        </x14:conditionalFormatting>
        <x14:conditionalFormatting xmlns:xm="http://schemas.microsoft.com/office/excel/2006/main">
          <x14:cfRule type="containsText" priority="246" operator="containsText" id="{00D1BC7E-86E8-48E0-A59A-7766F05736C0}">
            <xm:f>NOT(ISERROR(SEARCH('Paramétrage fichier'!$B$2,B71)))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B71:B73</xm:sqref>
        </x14:conditionalFormatting>
        <x14:conditionalFormatting xmlns:xm="http://schemas.microsoft.com/office/excel/2006/main">
          <x14:cfRule type="containsText" priority="249" operator="containsText" id="{A420007C-37F7-4B53-9AE1-416CB561BA08}">
            <xm:f>NOT(ISERROR(SEARCH('Paramétrage fichier'!$B$2,B79)))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B79</xm:sqref>
        </x14:conditionalFormatting>
        <x14:conditionalFormatting xmlns:xm="http://schemas.microsoft.com/office/excel/2006/main">
          <x14:cfRule type="containsText" priority="250" operator="containsText" id="{9A701673-712B-4CF1-A1C1-A32F5B7AD54B}">
            <xm:f>NOT(ISERROR(SEARCH('Paramétrage fichier'!$B$2,B87)))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B87</xm:sqref>
        </x14:conditionalFormatting>
        <x14:conditionalFormatting xmlns:xm="http://schemas.microsoft.com/office/excel/2006/main">
          <x14:cfRule type="containsText" priority="251" operator="containsText" id="{0439CC01-818C-4A08-A875-F409B7ADFE9E}">
            <xm:f>NOT(ISERROR(SEARCH('Paramétrage fichier'!$B$2,B95)))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B95</xm:sqref>
        </x14:conditionalFormatting>
        <x14:conditionalFormatting xmlns:xm="http://schemas.microsoft.com/office/excel/2006/main">
          <x14:cfRule type="containsText" priority="252" operator="containsText" id="{F647C1F4-1C9A-4631-B350-E09D0F4917EC}">
            <xm:f>NOT(ISERROR(SEARCH('Paramétrage fichier'!$B$2,B100)))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B100</xm:sqref>
        </x14:conditionalFormatting>
        <x14:conditionalFormatting xmlns:xm="http://schemas.microsoft.com/office/excel/2006/main">
          <x14:cfRule type="containsText" priority="783" operator="containsText" id="{8C4F6851-A9ED-4E9C-9871-75BA8FBE4E82}">
            <xm:f>NOT(ISERROR(SEARCH('Paramétrage fichier'!$B$2,B110)))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B110</xm:sqref>
        </x14:conditionalFormatting>
        <x14:conditionalFormatting xmlns:xm="http://schemas.microsoft.com/office/excel/2006/main">
          <x14:cfRule type="containsText" priority="254" operator="containsText" id="{CF2FF4B9-E389-49E9-89DD-37E4342EE199}">
            <xm:f>NOT(ISERROR(SEARCH('Paramétrage fichier'!$B$2,B131)))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B131:B162</xm:sqref>
        </x14:conditionalFormatting>
        <x14:conditionalFormatting xmlns:xm="http://schemas.microsoft.com/office/excel/2006/main">
          <x14:cfRule type="containsText" priority="257" operator="containsText" id="{6E5FC81D-8EA8-461F-A0FB-F68C7A8227CC}">
            <xm:f>NOT(ISERROR(SEARCH('Paramétrage fichier'!$B$2,B165)))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B165</xm:sqref>
        </x14:conditionalFormatting>
        <x14:conditionalFormatting xmlns:xm="http://schemas.microsoft.com/office/excel/2006/main">
          <x14:cfRule type="containsText" priority="785" operator="containsText" id="{964A0A38-1EB0-4763-99DC-A6CA19657CB9}">
            <xm:f>NOT(ISERROR(SEARCH('Paramétrage fichier'!$B$2,B171)))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B171:B173</xm:sqref>
        </x14:conditionalFormatting>
        <x14:conditionalFormatting xmlns:xm="http://schemas.microsoft.com/office/excel/2006/main">
          <x14:cfRule type="containsText" priority="256" operator="containsText" id="{AF830C0C-FC63-47EC-BB82-82D28F3623B0}">
            <xm:f>NOT(ISERROR(SEARCH('Paramétrage fichier'!$B$2,B173)))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B173</xm:sqref>
        </x14:conditionalFormatting>
        <x14:conditionalFormatting xmlns:xm="http://schemas.microsoft.com/office/excel/2006/main">
          <x14:cfRule type="containsText" priority="1572" operator="containsText" id="{6977D267-01AE-4DF9-A8CA-135E093D1E16}">
            <xm:f>NOT(ISERROR(SEARCH('Paramétrage fichier'!$B$5,B1)))</xm:f>
            <xm:f>'Paramétrage fichier'!$B$5</xm:f>
            <x14:dxf>
              <fill>
                <patternFill>
                  <bgColor rgb="FFFFC7CE"/>
                </patternFill>
              </fill>
            </x14:dxf>
          </x14:cfRule>
          <x14:cfRule type="containsText" priority="1573" operator="containsText" id="{3F333F34-729E-4E01-B5CD-8CAA87F620CB}">
            <xm:f>NOT(ISERROR(SEARCH('Paramétrage fichier'!$B$4,B1)))</xm:f>
            <xm:f>'Paramétrage fichier'!$B$4</xm:f>
            <x14:dxf>
              <font>
                <color theme="4"/>
              </font>
              <fill>
                <patternFill patternType="solid">
                  <bgColor theme="4" tint="0.59999389629810485"/>
                </patternFill>
              </fill>
            </x14:dxf>
          </x14:cfRule>
          <x14:cfRule type="containsText" priority="1574" operator="containsText" id="{0630AEB0-CABF-4357-BB10-0982F253BD87}">
            <xm:f>NOT(ISERROR(SEARCH('Paramétrage fichier'!$B$3,B1)))</xm:f>
            <xm:f>'Paramétrage fichier'!$B$3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B1:C1048576</xm:sqref>
        </x14:conditionalFormatting>
        <x14:conditionalFormatting xmlns:xm="http://schemas.microsoft.com/office/excel/2006/main">
          <x14:cfRule type="containsText" priority="1534" operator="containsText" id="{CE72F3D1-7F1D-4596-BD41-A8BE9E14D6B1}">
            <xm:f>NOT(ISERROR(SEARCH('Paramétrage fichier'!$B$2,B1)))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C1:C1048576 B14:B15 B17:B20 B22</xm:sqref>
        </x14:conditionalFormatting>
        <x14:conditionalFormatting xmlns:xm="http://schemas.microsoft.com/office/excel/2006/main">
          <x14:cfRule type="containsText" priority="1543" operator="containsText" id="{379DA27C-7222-4D6C-B9B4-C01CD2A0F9C4}">
            <xm:f>NOT(ISERROR(SEARCH('Paramétrage fichier'!$B$8,C14)))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1544" operator="containsText" id="{95771F97-1FDE-42A3-9F6D-4D944C5550D9}">
            <xm:f>NOT(ISERROR(SEARCH('Paramétrage fichier'!$B$8,C14)))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C14:C15</xm:sqref>
        </x14:conditionalFormatting>
        <x14:conditionalFormatting xmlns:xm="http://schemas.microsoft.com/office/excel/2006/main">
          <x14:cfRule type="containsText" priority="1418" operator="containsText" id="{F6FD9B90-494C-443E-92A2-BC116C01B2C5}">
            <xm:f>NOT(ISERROR(SEARCH('Paramétrage fichier'!$B$8,C19)))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1419" operator="containsText" id="{7608A1D8-89F8-4251-9C01-DE926C1207E4}">
            <xm:f>NOT(ISERROR(SEARCH('Paramétrage fichier'!$B$8,C19)))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ontainsText" priority="585" operator="containsText" id="{4D591488-B8BB-41C3-AFD8-C5517736A875}">
            <xm:f>NOT(ISERROR(SEARCH('Paramétrage fichier'!$B$8,C23)))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586" operator="containsText" id="{3F8EFBD8-7F14-4A5E-86CB-997D376CD115}">
            <xm:f>NOT(ISERROR(SEARCH('Paramétrage fichier'!$B$8,C23)))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ontainsText" priority="1519" operator="containsText" id="{D36356AB-3380-40C2-A8B6-18D1A1DE6994}">
            <xm:f>NOT(ISERROR(SEARCH('Paramétrage fichier'!$B$8,C54)))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1520" operator="containsText" id="{FDDA9711-3AA0-4A24-89DA-A3D593FC7832}">
            <xm:f>NOT(ISERROR(SEARCH('Paramétrage fichier'!$B$8,C54)))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C54</xm:sqref>
        </x14:conditionalFormatting>
        <x14:conditionalFormatting xmlns:xm="http://schemas.microsoft.com/office/excel/2006/main">
          <x14:cfRule type="containsText" priority="587" operator="containsText" id="{8C2A3B49-2D5A-43E4-89E7-D0FC18D55CA1}">
            <xm:f>NOT(ISERROR(SEARCH('Paramétrage fichier'!$B$8,C58)))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588" operator="containsText" id="{42E90BCC-848B-4C2C-A53E-EA0B49E916E6}">
            <xm:f>NOT(ISERROR(SEARCH('Paramétrage fichier'!$B$8,C58)))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C58</xm:sqref>
        </x14:conditionalFormatting>
        <x14:conditionalFormatting xmlns:xm="http://schemas.microsoft.com/office/excel/2006/main">
          <x14:cfRule type="containsText" priority="247" operator="containsText" id="{BEDBFC6A-07F1-435F-BF6E-2B5A2741124D}">
            <xm:f>NOT(ISERROR(SEARCH('Paramétrage fichier'!$B$8,C75)))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248" operator="containsText" id="{C2BAAFCD-105D-4693-A353-B585E6731F67}">
            <xm:f>NOT(ISERROR(SEARCH('Paramétrage fichier'!$B$8,C75)))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C75</xm:sqref>
        </x14:conditionalFormatting>
        <x14:conditionalFormatting xmlns:xm="http://schemas.microsoft.com/office/excel/2006/main">
          <x14:cfRule type="containsText" priority="1346" operator="containsText" id="{C4F5F49B-306E-41F4-8D6F-40A8738FF722}">
            <xm:f>NOT(ISERROR(SEARCH('Paramétrage fichier'!$B$8,C113)))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1347" operator="containsText" id="{84D68ED2-92CE-4226-A5EF-3F60EA5A56AF}">
            <xm:f>NOT(ISERROR(SEARCH('Paramétrage fichier'!$B$8,C113)))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containsText" priority="1514" operator="containsText" id="{C8164F51-0766-4F20-BA74-29596685381B}">
            <xm:f>NOT(ISERROR(SEARCH('Paramétrage fichier'!$B$2,C163)))</xm:f>
            <xm:f>'Paramétrage fichier'!$B$2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515" operator="containsText" id="{531C3E11-B13D-43E4-95D5-6708531FFDF6}">
            <xm:f>NOT(ISERROR(SEARCH('Paramétrage fichier'!$B$8,C163)))</xm:f>
            <xm:f>'Paramétrage fichier'!$B$8</xm:f>
            <x14:dxf>
              <font>
                <color theme="5" tint="-0.249977111117893"/>
              </font>
              <fill>
                <patternFill patternType="solid">
                  <bgColor theme="5" tint="0.59999389629810485"/>
                </patternFill>
              </fill>
            </x14:dxf>
          </x14:cfRule>
          <x14:cfRule type="containsText" priority="1516" operator="containsText" id="{DC46F5BC-F634-49B1-B25B-37F569470E29}">
            <xm:f>NOT(ISERROR(SEARCH('Paramétrage fichier'!$B$8,C163)))</xm:f>
            <xm:f>'Paramétrage fichier'!$B$8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C163:C165</xm:sqref>
        </x14:conditionalFormatting>
        <x14:conditionalFormatting xmlns:xm="http://schemas.microsoft.com/office/excel/2006/main">
          <x14:cfRule type="containsText" priority="1569" operator="containsText" id="{B47CC241-F5D3-4C62-A1D7-119253CAA768}">
            <xm:f>NOT(ISERROR(SEARCH('Paramétrage fichier'!$H$4,P1)))</xm:f>
            <xm:f>'Paramétrage fichier'!$H$4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70" operator="containsText" id="{C0A82FF3-685A-4AFD-A2DC-3842D339EDE1}">
            <xm:f>NOT(ISERROR(SEARCH('Paramétrage fichier'!$H$3,P1)))</xm:f>
            <xm:f>'Paramétrage fichier'!$H$3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571" operator="containsText" id="{35AB7670-5D23-41DF-9ECF-E04FFF6A20B8}">
            <xm:f>NOT(ISERROR(SEARCH('Paramétrage fichier'!$H$2,P1)))</xm:f>
            <xm:f>'Paramétrage fichier'!$H$2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T1:X1 S2:X3 P4:R4 S5:X11 S12:W12 S13:X1048576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760F7E5E-C229-49E6-8741-BC322CC1CDBA}">
          <x14:formula1>
            <xm:f>'Paramétrage fichier'!$B$2:$B$5</xm:f>
          </x14:formula1>
          <xm:sqref>B169 B175</xm:sqref>
        </x14:dataValidation>
        <x14:dataValidation type="list" allowBlank="1" showInputMessage="1" showErrorMessage="1" xr:uid="{353D1CB3-46F3-4DF3-983A-2A1F02724A35}">
          <x14:formula1>
            <xm:f>'Paramétrage fichier'!$J$2:$J$5</xm:f>
          </x14:formula1>
          <xm:sqref>Z179 Y13:Y77 Y79:Y179 Y6:Y11</xm:sqref>
        </x14:dataValidation>
        <x14:dataValidation type="list" allowBlank="1" showInputMessage="1" showErrorMessage="1" xr:uid="{71B3BCC1-1D17-4F15-8693-5D7F2EEC48B9}">
          <x14:formula1>
            <xm:f>'Paramétrage fichier'!$H$2:$H$4</xm:f>
          </x14:formula1>
          <xm:sqref>V6 S7:W12 S13:U29 V13:X56 S31:U56 S125:T180 X6:X11 U140:U180 V125:W180 U125:U138 X103:X180 S57:X101 S103:W124</xm:sqref>
        </x14:dataValidation>
        <x14:dataValidation type="list" allowBlank="1" showInputMessage="1" showErrorMessage="1" xr:uid="{62133CCA-4CF1-4803-88D8-9F62C0992D07}">
          <x14:formula1>
            <xm:f>'Paramétrage fichier'!$B$2:$B$15</xm:f>
          </x14:formula1>
          <xm:sqref>C1:C4 C174:C1048576 B170:C173 B6:B168 C6:C169</xm:sqref>
        </x14:dataValidation>
        <x14:dataValidation type="list" allowBlank="1" showInputMessage="1" showErrorMessage="1" xr:uid="{33A53AC6-0B04-4CB4-B62A-420277A81DBA}">
          <x14:formula1>
            <xm:f>'Paramétrage fichier'!$N$2:$N$14</xm:f>
          </x14:formula1>
          <xm:sqref>Y12 AB141:AK141 AJ170:AK170 AF8 AL131 AA147 Z135:Z144 AD143:AK143 AG170:AH170 AC144 AM12 Z6:Z126 AL141:AL144 AL149:AL150 AL158 AB12 AF154:AL154 AL161 Z147:Z178 Z128:Z133 AF150:AK150 AF148:AK148 AB147:AE148 AB161:AK162</xm:sqref>
        </x14:dataValidation>
        <x14:dataValidation type="list" allowBlank="1" showInputMessage="1" showErrorMessage="1" xr:uid="{FA86AFAA-DE1D-456B-B32C-18604F8CDEEB}">
          <x14:formula1>
            <xm:f>'Paramétrage fichier'!$E$2:$E$13</xm:f>
          </x14:formula1>
          <xm:sqref>X126:X130 X103:X124 X132:X230 X6:X101 R177:R230 O6:O230 P178:Q230</xm:sqref>
        </x14:dataValidation>
        <x14:dataValidation type="list" allowBlank="1" showInputMessage="1" showErrorMessage="1" xr:uid="{5532371D-DF3E-4346-A30D-373FD3484A3B}">
          <x14:formula1>
            <xm:f>'Paramétrage fichier'!$H$2:$H$5</xm:f>
          </x14:formula1>
          <xm:sqref>U139</xm:sqref>
        </x14:dataValidation>
        <x14:dataValidation type="list" allowBlank="1" showInputMessage="1" showErrorMessage="1" xr:uid="{DF00D77E-8AFF-43FF-BE0A-3EE7D7A6B09A}">
          <x14:formula1>
            <xm:f>'Paramétrage fichier'!$F$2:$F$14</xm:f>
          </x14:formula1>
          <xm:sqref>K1:K1048576</xm:sqref>
        </x14:dataValidation>
        <x14:dataValidation type="list" allowBlank="1" showInputMessage="1" showErrorMessage="1" xr:uid="{9E3EA0FF-8921-49F4-A12F-7708C545F3A8}">
          <x14:formula1>
            <xm:f>'Paramétrage fichier'!$A$2:$A$3</xm:f>
          </x14:formula1>
          <xm:sqref>A6:A221</xm:sqref>
        </x14:dataValidation>
        <x14:dataValidation type="list" allowBlank="1" showInputMessage="1" showErrorMessage="1" xr:uid="{808DB2A2-5D18-49E2-BCDF-D5A291DC84C2}">
          <x14:formula1>
            <xm:f>'Paramétrage fichier'!$D$2:$D$3</xm:f>
          </x14:formula1>
          <xm:sqref>M6:M181</xm:sqref>
        </x14:dataValidation>
        <x14:dataValidation type="list" allowBlank="1" showInputMessage="1" showErrorMessage="1" xr:uid="{B21E581C-4321-4A8A-AE93-10DF4F1F75A2}">
          <x14:formula1>
            <xm:f>'Paramétrage fichier'!$L$2:$L$14</xm:f>
          </x14:formula1>
          <xm:sqref>I6:J207</xm:sqref>
        </x14:dataValidation>
        <x14:dataValidation type="list" allowBlank="1" showInputMessage="1" showErrorMessage="1" xr:uid="{75D51798-F18D-4097-9A7A-D90C5D564A31}">
          <x14:formula1>
            <xm:f>'Paramétrage fichier'!$C$2:$C$15</xm:f>
          </x14:formula1>
          <xm:sqref>L1:L1048576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AFC7-F315-40D9-88E9-797BA3F6C8D4}">
  <dimension ref="A5:B176"/>
  <sheetViews>
    <sheetView workbookViewId="0">
      <selection activeCell="L18" sqref="L18"/>
    </sheetView>
  </sheetViews>
  <sheetFormatPr defaultColWidth="9.140625" defaultRowHeight="15"/>
  <sheetData>
    <row r="5" spans="1:2">
      <c r="A5" t="s">
        <v>9</v>
      </c>
      <c r="B5" t="s">
        <v>464</v>
      </c>
    </row>
    <row r="6" spans="1:2">
      <c r="A6" t="s">
        <v>465</v>
      </c>
    </row>
    <row r="7" spans="1:2">
      <c r="A7" t="s">
        <v>61</v>
      </c>
      <c r="B7">
        <v>46142</v>
      </c>
    </row>
    <row r="8" spans="1:2">
      <c r="A8" t="s">
        <v>69</v>
      </c>
    </row>
    <row r="9" spans="1:2">
      <c r="A9" t="s">
        <v>466</v>
      </c>
      <c r="B9">
        <v>46143</v>
      </c>
    </row>
    <row r="10" spans="1:2">
      <c r="A10" t="s">
        <v>80</v>
      </c>
      <c r="B10">
        <v>46142</v>
      </c>
    </row>
    <row r="11" spans="1:2">
      <c r="A11" t="s">
        <v>83</v>
      </c>
      <c r="B11">
        <v>46081</v>
      </c>
    </row>
    <row r="12" spans="1:2">
      <c r="A12" t="s">
        <v>86</v>
      </c>
      <c r="B12">
        <v>46146</v>
      </c>
    </row>
    <row r="13" spans="1:2">
      <c r="A13" t="s">
        <v>91</v>
      </c>
      <c r="B13">
        <v>46087</v>
      </c>
    </row>
    <row r="14" spans="1:2">
      <c r="A14" t="s">
        <v>203</v>
      </c>
      <c r="B14">
        <v>46060</v>
      </c>
    </row>
    <row r="15" spans="1:2">
      <c r="A15" t="s">
        <v>113</v>
      </c>
    </row>
    <row r="16" spans="1:2">
      <c r="A16" t="s">
        <v>103</v>
      </c>
    </row>
    <row r="17" spans="1:2">
      <c r="A17" t="s">
        <v>109</v>
      </c>
      <c r="B17">
        <v>46066</v>
      </c>
    </row>
    <row r="18" spans="1:2">
      <c r="A18" t="s">
        <v>115</v>
      </c>
      <c r="B18">
        <v>46112</v>
      </c>
    </row>
    <row r="19" spans="1:2">
      <c r="A19" t="s">
        <v>118</v>
      </c>
      <c r="B19" t="s">
        <v>121</v>
      </c>
    </row>
    <row r="20" spans="1:2">
      <c r="A20" t="s">
        <v>122</v>
      </c>
      <c r="B20">
        <v>46087</v>
      </c>
    </row>
    <row r="21" spans="1:2">
      <c r="A21" t="s">
        <v>176</v>
      </c>
      <c r="B21">
        <v>46066</v>
      </c>
    </row>
    <row r="22" spans="1:2">
      <c r="A22" t="s">
        <v>123</v>
      </c>
      <c r="B22">
        <v>46059</v>
      </c>
    </row>
    <row r="23" spans="1:2">
      <c r="A23" t="s">
        <v>125</v>
      </c>
    </row>
    <row r="24" spans="1:2">
      <c r="A24" t="s">
        <v>133</v>
      </c>
      <c r="B24">
        <v>46087</v>
      </c>
    </row>
    <row r="25" spans="1:2">
      <c r="A25" t="s">
        <v>427</v>
      </c>
      <c r="B25">
        <v>46066</v>
      </c>
    </row>
    <row r="26" spans="1:2">
      <c r="A26" t="s">
        <v>136</v>
      </c>
    </row>
    <row r="27" spans="1:2">
      <c r="A27" t="s">
        <v>144</v>
      </c>
    </row>
    <row r="28" spans="1:2">
      <c r="A28" t="s">
        <v>147</v>
      </c>
      <c r="B28">
        <v>46098</v>
      </c>
    </row>
    <row r="29" spans="1:2">
      <c r="A29" t="s">
        <v>150</v>
      </c>
      <c r="B29">
        <v>46080</v>
      </c>
    </row>
    <row r="30" spans="1:2">
      <c r="A30" t="s">
        <v>153</v>
      </c>
      <c r="B30">
        <v>46084</v>
      </c>
    </row>
    <row r="31" spans="1:2">
      <c r="A31" t="s">
        <v>156</v>
      </c>
      <c r="B31">
        <v>46059</v>
      </c>
    </row>
    <row r="32" spans="1:2">
      <c r="A32" t="s">
        <v>159</v>
      </c>
      <c r="B32">
        <v>46081</v>
      </c>
    </row>
    <row r="33" spans="1:2">
      <c r="A33" t="s">
        <v>162</v>
      </c>
      <c r="B33">
        <v>46143</v>
      </c>
    </row>
    <row r="34" spans="1:2">
      <c r="A34" t="s">
        <v>170</v>
      </c>
      <c r="B34">
        <v>46094</v>
      </c>
    </row>
    <row r="35" spans="1:2">
      <c r="A35" t="s">
        <v>96</v>
      </c>
      <c r="B35">
        <v>46073</v>
      </c>
    </row>
    <row r="36" spans="1:2">
      <c r="A36" t="s">
        <v>430</v>
      </c>
      <c r="B36">
        <v>46084</v>
      </c>
    </row>
    <row r="37" spans="1:2">
      <c r="A37" t="s">
        <v>179</v>
      </c>
    </row>
    <row r="38" spans="1:2">
      <c r="A38" t="s">
        <v>186</v>
      </c>
      <c r="B38">
        <v>46081</v>
      </c>
    </row>
    <row r="39" spans="1:2">
      <c r="A39" t="s">
        <v>180</v>
      </c>
    </row>
    <row r="40" spans="1:2">
      <c r="A40" t="s">
        <v>188</v>
      </c>
      <c r="B40">
        <v>46115</v>
      </c>
    </row>
    <row r="41" spans="1:2">
      <c r="A41" t="s">
        <v>189</v>
      </c>
    </row>
    <row r="42" spans="1:2">
      <c r="A42" t="s">
        <v>191</v>
      </c>
      <c r="B42">
        <v>46070</v>
      </c>
    </row>
    <row r="43" spans="1:2">
      <c r="A43" t="s">
        <v>313</v>
      </c>
      <c r="B43">
        <v>46086</v>
      </c>
    </row>
    <row r="44" spans="1:2">
      <c r="A44" t="s">
        <v>138</v>
      </c>
      <c r="B44">
        <v>46087</v>
      </c>
    </row>
    <row r="45" spans="1:2">
      <c r="A45" t="s">
        <v>201</v>
      </c>
      <c r="B45">
        <v>46142</v>
      </c>
    </row>
    <row r="46" spans="1:2">
      <c r="A46" t="s">
        <v>202</v>
      </c>
      <c r="B46">
        <v>46108</v>
      </c>
    </row>
    <row r="47" spans="1:2">
      <c r="A47" t="s">
        <v>363</v>
      </c>
      <c r="B47">
        <v>46090</v>
      </c>
    </row>
    <row r="48" spans="1:2">
      <c r="A48" t="s">
        <v>207</v>
      </c>
      <c r="B48">
        <v>46112</v>
      </c>
    </row>
    <row r="49" spans="1:2">
      <c r="A49" t="s">
        <v>209</v>
      </c>
      <c r="B49">
        <v>46129</v>
      </c>
    </row>
    <row r="50" spans="1:2">
      <c r="A50" t="s">
        <v>210</v>
      </c>
    </row>
    <row r="51" spans="1:2">
      <c r="A51" t="s">
        <v>211</v>
      </c>
      <c r="B51">
        <v>46115</v>
      </c>
    </row>
    <row r="52" spans="1:2">
      <c r="A52" t="s">
        <v>214</v>
      </c>
    </row>
    <row r="53" spans="1:2">
      <c r="A53" t="s">
        <v>216</v>
      </c>
      <c r="B53">
        <v>46083</v>
      </c>
    </row>
    <row r="54" spans="1:2">
      <c r="A54" t="s">
        <v>219</v>
      </c>
    </row>
    <row r="55" spans="1:2">
      <c r="A55" t="s">
        <v>220</v>
      </c>
      <c r="B55">
        <v>46112</v>
      </c>
    </row>
    <row r="56" spans="1:2">
      <c r="A56" t="s">
        <v>221</v>
      </c>
      <c r="B56">
        <v>46072</v>
      </c>
    </row>
    <row r="57" spans="1:2">
      <c r="A57" t="s">
        <v>223</v>
      </c>
    </row>
    <row r="58" spans="1:2">
      <c r="A58" t="s">
        <v>224</v>
      </c>
      <c r="B58">
        <v>46081</v>
      </c>
    </row>
    <row r="59" spans="1:2">
      <c r="A59" t="s">
        <v>231</v>
      </c>
      <c r="B59">
        <v>46142</v>
      </c>
    </row>
    <row r="60" spans="1:2">
      <c r="A60" t="s">
        <v>225</v>
      </c>
      <c r="B60">
        <v>46108</v>
      </c>
    </row>
    <row r="61" spans="1:2">
      <c r="A61" t="s">
        <v>228</v>
      </c>
    </row>
    <row r="62" spans="1:2">
      <c r="A62" t="s">
        <v>229</v>
      </c>
      <c r="B62">
        <v>46108</v>
      </c>
    </row>
    <row r="63" spans="1:2">
      <c r="A63" t="s">
        <v>232</v>
      </c>
      <c r="B63">
        <v>46115</v>
      </c>
    </row>
    <row r="64" spans="1:2">
      <c r="A64" t="s">
        <v>242</v>
      </c>
      <c r="B64">
        <v>46122</v>
      </c>
    </row>
    <row r="65" spans="1:2">
      <c r="A65" t="s">
        <v>364</v>
      </c>
      <c r="B65">
        <v>46092</v>
      </c>
    </row>
    <row r="66" spans="1:2">
      <c r="A66" t="s">
        <v>265</v>
      </c>
      <c r="B66">
        <v>46094</v>
      </c>
    </row>
    <row r="67" spans="1:2">
      <c r="A67" t="s">
        <v>341</v>
      </c>
      <c r="B67">
        <v>46094</v>
      </c>
    </row>
    <row r="68" spans="1:2">
      <c r="A68" t="s">
        <v>247</v>
      </c>
      <c r="B68">
        <v>46143</v>
      </c>
    </row>
    <row r="69" spans="1:2">
      <c r="A69" t="s">
        <v>252</v>
      </c>
      <c r="B69">
        <v>46073</v>
      </c>
    </row>
    <row r="70" spans="1:2">
      <c r="A70" t="s">
        <v>249</v>
      </c>
    </row>
    <row r="71" spans="1:2">
      <c r="A71" t="s">
        <v>254</v>
      </c>
      <c r="B71">
        <v>46112</v>
      </c>
    </row>
    <row r="72" spans="1:2">
      <c r="A72" t="s">
        <v>323</v>
      </c>
      <c r="B72">
        <v>46097</v>
      </c>
    </row>
    <row r="73" spans="1:2">
      <c r="A73" t="s">
        <v>259</v>
      </c>
      <c r="B73">
        <v>46069</v>
      </c>
    </row>
    <row r="74" spans="1:2">
      <c r="A74" t="s">
        <v>261</v>
      </c>
      <c r="B74">
        <v>46069</v>
      </c>
    </row>
    <row r="75" spans="1:2">
      <c r="A75" t="s">
        <v>264</v>
      </c>
    </row>
    <row r="76" spans="1:2">
      <c r="A76" t="s">
        <v>348</v>
      </c>
      <c r="B76">
        <v>46112</v>
      </c>
    </row>
    <row r="77" spans="1:2">
      <c r="A77" t="s">
        <v>267</v>
      </c>
    </row>
    <row r="78" spans="1:2">
      <c r="A78" t="s">
        <v>269</v>
      </c>
      <c r="B78">
        <v>46098</v>
      </c>
    </row>
    <row r="79" spans="1:2">
      <c r="A79" t="s">
        <v>272</v>
      </c>
      <c r="B79">
        <v>46129</v>
      </c>
    </row>
    <row r="80" spans="1:2">
      <c r="A80" t="s">
        <v>304</v>
      </c>
      <c r="B80">
        <v>46113</v>
      </c>
    </row>
    <row r="81" spans="1:2">
      <c r="A81" t="s">
        <v>281</v>
      </c>
      <c r="B81">
        <v>46066</v>
      </c>
    </row>
    <row r="82" spans="1:2">
      <c r="A82" t="s">
        <v>284</v>
      </c>
      <c r="B82">
        <v>46059</v>
      </c>
    </row>
    <row r="83" spans="1:2">
      <c r="A83" t="s">
        <v>288</v>
      </c>
    </row>
    <row r="84" spans="1:2">
      <c r="A84" t="s">
        <v>289</v>
      </c>
    </row>
    <row r="85" spans="1:2">
      <c r="A85" t="s">
        <v>290</v>
      </c>
    </row>
    <row r="86" spans="1:2">
      <c r="A86" t="s">
        <v>292</v>
      </c>
      <c r="B86">
        <v>46083</v>
      </c>
    </row>
    <row r="87" spans="1:2">
      <c r="A87" t="s">
        <v>295</v>
      </c>
      <c r="B87">
        <v>46094</v>
      </c>
    </row>
    <row r="88" spans="1:2">
      <c r="A88" t="s">
        <v>308</v>
      </c>
      <c r="B88">
        <v>46114</v>
      </c>
    </row>
    <row r="89" spans="1:2">
      <c r="A89" t="s">
        <v>301</v>
      </c>
    </row>
    <row r="90" spans="1:2">
      <c r="A90" t="s">
        <v>256</v>
      </c>
      <c r="B90">
        <v>46115</v>
      </c>
    </row>
    <row r="91" spans="1:2">
      <c r="A91" t="s">
        <v>307</v>
      </c>
      <c r="B91">
        <v>46115</v>
      </c>
    </row>
    <row r="92" spans="1:2">
      <c r="A92" t="s">
        <v>128</v>
      </c>
      <c r="B92">
        <v>46122</v>
      </c>
    </row>
    <row r="93" spans="1:2">
      <c r="A93" t="s">
        <v>310</v>
      </c>
    </row>
    <row r="94" spans="1:2">
      <c r="A94" t="s">
        <v>311</v>
      </c>
      <c r="B94">
        <v>46081</v>
      </c>
    </row>
    <row r="95" spans="1:2">
      <c r="A95" t="s">
        <v>312</v>
      </c>
      <c r="B95">
        <v>46142</v>
      </c>
    </row>
    <row r="96" spans="1:2">
      <c r="A96" t="s">
        <v>406</v>
      </c>
      <c r="B96">
        <v>46124</v>
      </c>
    </row>
    <row r="97" spans="1:2">
      <c r="A97" t="s">
        <v>315</v>
      </c>
    </row>
    <row r="98" spans="1:2">
      <c r="A98" t="s">
        <v>317</v>
      </c>
      <c r="B98">
        <v>46138</v>
      </c>
    </row>
    <row r="99" spans="1:2">
      <c r="A99" t="s">
        <v>319</v>
      </c>
      <c r="B99" t="s">
        <v>175</v>
      </c>
    </row>
    <row r="100" spans="1:2">
      <c r="A100" t="s">
        <v>322</v>
      </c>
    </row>
    <row r="101" spans="1:2">
      <c r="A101" t="s">
        <v>298</v>
      </c>
      <c r="B101">
        <v>46129</v>
      </c>
    </row>
    <row r="102" spans="1:2">
      <c r="A102" t="s">
        <v>326</v>
      </c>
    </row>
    <row r="103" spans="1:2">
      <c r="A103" t="s">
        <v>328</v>
      </c>
      <c r="B103">
        <v>46112</v>
      </c>
    </row>
    <row r="104" spans="1:2">
      <c r="A104" t="s">
        <v>331</v>
      </c>
      <c r="B104">
        <v>46122</v>
      </c>
    </row>
    <row r="105" spans="1:2">
      <c r="A105" t="s">
        <v>332</v>
      </c>
      <c r="B105">
        <v>46066</v>
      </c>
    </row>
    <row r="106" spans="1:2">
      <c r="A106" t="s">
        <v>333</v>
      </c>
      <c r="B106">
        <v>46112</v>
      </c>
    </row>
    <row r="107" spans="1:2">
      <c r="A107" t="s">
        <v>410</v>
      </c>
      <c r="B107">
        <v>46142</v>
      </c>
    </row>
    <row r="108" spans="1:2">
      <c r="A108" t="s">
        <v>337</v>
      </c>
      <c r="B108">
        <v>46059</v>
      </c>
    </row>
    <row r="109" spans="1:2">
      <c r="A109" t="s">
        <v>339</v>
      </c>
    </row>
    <row r="110" spans="1:2">
      <c r="A110" t="s">
        <v>340</v>
      </c>
    </row>
    <row r="111" spans="1:2">
      <c r="A111" t="s">
        <v>393</v>
      </c>
      <c r="B111">
        <v>46147</v>
      </c>
    </row>
    <row r="112" spans="1:2">
      <c r="A112" t="s">
        <v>345</v>
      </c>
      <c r="B112">
        <v>46112</v>
      </c>
    </row>
    <row r="113" spans="1:2">
      <c r="A113" t="s">
        <v>346</v>
      </c>
    </row>
    <row r="114" spans="1:2">
      <c r="A114" t="s">
        <v>390</v>
      </c>
      <c r="B114">
        <v>46149</v>
      </c>
    </row>
    <row r="115" spans="1:2">
      <c r="A115" t="s">
        <v>351</v>
      </c>
    </row>
    <row r="116" spans="1:2">
      <c r="A116" t="s">
        <v>407</v>
      </c>
      <c r="B116">
        <v>46149</v>
      </c>
    </row>
    <row r="117" spans="1:2">
      <c r="A117" t="s">
        <v>353</v>
      </c>
      <c r="B117">
        <v>46059</v>
      </c>
    </row>
    <row r="118" spans="1:2">
      <c r="A118" t="s">
        <v>354</v>
      </c>
    </row>
    <row r="119" spans="1:2">
      <c r="A119" t="s">
        <v>355</v>
      </c>
    </row>
    <row r="120" spans="1:2">
      <c r="A120" t="s">
        <v>357</v>
      </c>
      <c r="B120">
        <v>46059</v>
      </c>
    </row>
    <row r="121" spans="1:2">
      <c r="A121" t="s">
        <v>359</v>
      </c>
      <c r="B121">
        <v>46059</v>
      </c>
    </row>
    <row r="122" spans="1:2">
      <c r="A122" t="s">
        <v>360</v>
      </c>
      <c r="B122">
        <v>46087</v>
      </c>
    </row>
    <row r="123" spans="1:2">
      <c r="A123" t="s">
        <v>361</v>
      </c>
      <c r="B123">
        <v>46115</v>
      </c>
    </row>
    <row r="124" spans="1:2">
      <c r="A124" t="s">
        <v>423</v>
      </c>
      <c r="B124">
        <v>46155</v>
      </c>
    </row>
    <row r="125" spans="1:2">
      <c r="A125" t="s">
        <v>419</v>
      </c>
      <c r="B125">
        <v>46157</v>
      </c>
    </row>
    <row r="126" spans="1:2">
      <c r="A126" t="s">
        <v>368</v>
      </c>
      <c r="B126">
        <v>46115</v>
      </c>
    </row>
    <row r="127" spans="1:2">
      <c r="A127" t="s">
        <v>369</v>
      </c>
      <c r="B127">
        <v>46062</v>
      </c>
    </row>
    <row r="128" spans="1:2">
      <c r="A128" t="s">
        <v>370</v>
      </c>
      <c r="B128">
        <v>46122</v>
      </c>
    </row>
    <row r="129" spans="1:2">
      <c r="A129" t="s">
        <v>372</v>
      </c>
      <c r="B129">
        <v>46080</v>
      </c>
    </row>
    <row r="130" spans="1:2">
      <c r="A130" t="s">
        <v>375</v>
      </c>
      <c r="B130">
        <v>46080</v>
      </c>
    </row>
    <row r="131" spans="1:2">
      <c r="A131" t="s">
        <v>377</v>
      </c>
      <c r="B131">
        <v>0</v>
      </c>
    </row>
    <row r="132" spans="1:2">
      <c r="A132" t="s">
        <v>380</v>
      </c>
      <c r="B132">
        <v>46084</v>
      </c>
    </row>
    <row r="133" spans="1:2">
      <c r="A133" t="s">
        <v>381</v>
      </c>
      <c r="B133">
        <v>46059</v>
      </c>
    </row>
    <row r="134" spans="1:2">
      <c r="A134" t="s">
        <v>383</v>
      </c>
    </row>
    <row r="135" spans="1:2">
      <c r="A135" t="s">
        <v>387</v>
      </c>
    </row>
    <row r="136" spans="1:2">
      <c r="A136" t="s">
        <v>417</v>
      </c>
      <c r="B136">
        <v>46160</v>
      </c>
    </row>
    <row r="137" spans="1:2">
      <c r="A137" t="s">
        <v>352</v>
      </c>
      <c r="B137">
        <v>46387</v>
      </c>
    </row>
    <row r="138" spans="1:2">
      <c r="A138" t="s">
        <v>391</v>
      </c>
      <c r="B138">
        <v>46063</v>
      </c>
    </row>
    <row r="139" spans="1:2">
      <c r="A139" t="s">
        <v>274</v>
      </c>
      <c r="B139" t="s">
        <v>279</v>
      </c>
    </row>
    <row r="140" spans="1:2">
      <c r="A140" t="s">
        <v>395</v>
      </c>
      <c r="B140">
        <v>46122</v>
      </c>
    </row>
    <row r="141" spans="1:2">
      <c r="A141" t="s">
        <v>397</v>
      </c>
      <c r="B141">
        <v>46094</v>
      </c>
    </row>
    <row r="142" spans="1:2">
      <c r="A142" t="s">
        <v>399</v>
      </c>
      <c r="B142">
        <v>46094</v>
      </c>
    </row>
    <row r="143" spans="1:2">
      <c r="A143" t="s">
        <v>401</v>
      </c>
    </row>
    <row r="144" spans="1:2">
      <c r="A144" t="s">
        <v>403</v>
      </c>
      <c r="B144">
        <v>46094</v>
      </c>
    </row>
    <row r="145" spans="1:2">
      <c r="A145" t="s">
        <v>166</v>
      </c>
    </row>
    <row r="146" spans="1:2">
      <c r="A146" t="s">
        <v>198</v>
      </c>
    </row>
    <row r="147" spans="1:2">
      <c r="A147" t="s">
        <v>408</v>
      </c>
      <c r="B147">
        <v>46129</v>
      </c>
    </row>
    <row r="148" spans="1:2">
      <c r="A148" t="s">
        <v>194</v>
      </c>
    </row>
    <row r="149" spans="1:2">
      <c r="A149" t="s">
        <v>414</v>
      </c>
      <c r="B149">
        <v>46098</v>
      </c>
    </row>
    <row r="150" spans="1:2">
      <c r="A150" t="s">
        <v>415</v>
      </c>
      <c r="B150">
        <v>46115</v>
      </c>
    </row>
    <row r="151" spans="1:2">
      <c r="A151" t="s">
        <v>234</v>
      </c>
    </row>
    <row r="152" spans="1:2">
      <c r="A152" t="s">
        <v>237</v>
      </c>
    </row>
    <row r="153" spans="1:2">
      <c r="A153" t="s">
        <v>243</v>
      </c>
    </row>
    <row r="154" spans="1:2">
      <c r="A154" t="s">
        <v>420</v>
      </c>
    </row>
    <row r="155" spans="1:2">
      <c r="A155" t="s">
        <v>422</v>
      </c>
    </row>
    <row r="156" spans="1:2">
      <c r="A156" t="s">
        <v>426</v>
      </c>
    </row>
    <row r="157" spans="1:2">
      <c r="A157" t="s">
        <v>334</v>
      </c>
    </row>
    <row r="158" spans="1:2">
      <c r="A158" t="s">
        <v>384</v>
      </c>
    </row>
    <row r="159" spans="1:2">
      <c r="A159" t="s">
        <v>431</v>
      </c>
      <c r="B159">
        <v>46081</v>
      </c>
    </row>
    <row r="160" spans="1:2">
      <c r="A160" t="s">
        <v>432</v>
      </c>
      <c r="B160">
        <v>46100</v>
      </c>
    </row>
    <row r="161" spans="1:2">
      <c r="A161" t="s">
        <v>435</v>
      </c>
      <c r="B161">
        <v>46080</v>
      </c>
    </row>
    <row r="162" spans="1:2">
      <c r="A162" t="s">
        <v>434</v>
      </c>
    </row>
    <row r="163" spans="1:2">
      <c r="A163" t="s">
        <v>436</v>
      </c>
      <c r="B163">
        <v>46122</v>
      </c>
    </row>
    <row r="164" spans="1:2">
      <c r="A164" t="s">
        <v>438</v>
      </c>
      <c r="B164">
        <v>46101</v>
      </c>
    </row>
    <row r="165" spans="1:2">
      <c r="A165" t="s">
        <v>440</v>
      </c>
      <c r="B165">
        <v>46101</v>
      </c>
    </row>
    <row r="166" spans="1:2">
      <c r="A166" t="s">
        <v>445</v>
      </c>
      <c r="B166">
        <v>46066</v>
      </c>
    </row>
    <row r="167" spans="1:2">
      <c r="A167" t="s">
        <v>441</v>
      </c>
    </row>
    <row r="168" spans="1:2">
      <c r="A168" t="s">
        <v>444</v>
      </c>
    </row>
    <row r="169" spans="1:2">
      <c r="A169" t="s">
        <v>447</v>
      </c>
      <c r="B169">
        <v>46106</v>
      </c>
    </row>
    <row r="170" spans="1:2">
      <c r="A170" t="s">
        <v>450</v>
      </c>
    </row>
    <row r="171" spans="1:2">
      <c r="A171" t="s">
        <v>451</v>
      </c>
      <c r="B171">
        <v>46112</v>
      </c>
    </row>
    <row r="172" spans="1:2">
      <c r="A172" t="s">
        <v>452</v>
      </c>
    </row>
    <row r="173" spans="1:2">
      <c r="A173" t="s">
        <v>454</v>
      </c>
      <c r="B173">
        <v>46143</v>
      </c>
    </row>
    <row r="174" spans="1:2">
      <c r="A174" t="s">
        <v>459</v>
      </c>
      <c r="B174">
        <v>46138</v>
      </c>
    </row>
    <row r="175" spans="1:2">
      <c r="A175" t="s">
        <v>456</v>
      </c>
    </row>
    <row r="176" spans="1:2">
      <c r="A176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0879-FD25-4A84-A92D-85DB7718F7D9}">
  <dimension ref="A1"/>
  <sheetViews>
    <sheetView workbookViewId="0">
      <selection activeCell="H15" sqref="H15"/>
    </sheetView>
  </sheetViews>
  <sheetFormatPr defaultColWidth="9.1406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2F40-4A4D-4424-85AD-7496EC1AB18A}">
  <dimension ref="A1:P20"/>
  <sheetViews>
    <sheetView workbookViewId="0">
      <selection activeCell="E12" sqref="E2:E12"/>
    </sheetView>
  </sheetViews>
  <sheetFormatPr defaultColWidth="9.140625" defaultRowHeight="15"/>
  <cols>
    <col min="2" max="2" width="20.85546875" bestFit="1" customWidth="1"/>
    <col min="3" max="3" width="17.140625" bestFit="1" customWidth="1"/>
    <col min="5" max="5" width="11.7109375" bestFit="1" customWidth="1"/>
    <col min="6" max="6" width="16.42578125" bestFit="1" customWidth="1"/>
    <col min="8" max="8" width="12.42578125" customWidth="1"/>
    <col min="16" max="16" width="15.7109375" bestFit="1" customWidth="1"/>
  </cols>
  <sheetData>
    <row r="1" spans="1:16">
      <c r="A1" t="s">
        <v>6</v>
      </c>
      <c r="B1" s="1" t="s">
        <v>467</v>
      </c>
      <c r="C1" t="s">
        <v>468</v>
      </c>
      <c r="D1" t="s">
        <v>469</v>
      </c>
      <c r="E1" t="s">
        <v>470</v>
      </c>
      <c r="F1" t="s">
        <v>471</v>
      </c>
      <c r="H1" t="s">
        <v>472</v>
      </c>
      <c r="J1" t="s">
        <v>30</v>
      </c>
      <c r="L1" t="s">
        <v>473</v>
      </c>
      <c r="N1" t="s">
        <v>474</v>
      </c>
      <c r="P1" s="5" t="s">
        <v>475</v>
      </c>
    </row>
    <row r="2" spans="1:16">
      <c r="A2" t="s">
        <v>84</v>
      </c>
      <c r="B2" t="s">
        <v>95</v>
      </c>
      <c r="C2" t="s">
        <v>65</v>
      </c>
      <c r="D2" t="s">
        <v>66</v>
      </c>
      <c r="E2" s="2">
        <v>46053</v>
      </c>
      <c r="F2" t="s">
        <v>101</v>
      </c>
      <c r="H2" t="s">
        <v>476</v>
      </c>
      <c r="J2" t="s">
        <v>77</v>
      </c>
      <c r="L2" t="s">
        <v>63</v>
      </c>
      <c r="N2">
        <v>16</v>
      </c>
      <c r="P2" t="s">
        <v>60</v>
      </c>
    </row>
    <row r="3" spans="1:16">
      <c r="A3" t="s">
        <v>58</v>
      </c>
      <c r="B3" t="s">
        <v>477</v>
      </c>
      <c r="C3" t="s">
        <v>82</v>
      </c>
      <c r="D3" t="s">
        <v>76</v>
      </c>
      <c r="E3" s="2">
        <v>46081</v>
      </c>
      <c r="F3" t="s">
        <v>64</v>
      </c>
      <c r="H3" t="s">
        <v>273</v>
      </c>
      <c r="J3" t="s">
        <v>67</v>
      </c>
      <c r="L3" t="s">
        <v>142</v>
      </c>
      <c r="N3">
        <v>19</v>
      </c>
      <c r="P3" s="4" t="s">
        <v>478</v>
      </c>
    </row>
    <row r="4" spans="1:16">
      <c r="B4" t="s">
        <v>68</v>
      </c>
      <c r="C4" t="s">
        <v>102</v>
      </c>
      <c r="E4" s="2">
        <v>46112</v>
      </c>
      <c r="F4" s="3" t="s">
        <v>182</v>
      </c>
      <c r="H4" t="s">
        <v>286</v>
      </c>
      <c r="J4" t="s">
        <v>71</v>
      </c>
      <c r="L4" t="s">
        <v>74</v>
      </c>
      <c r="N4">
        <v>21</v>
      </c>
      <c r="P4" s="4" t="s">
        <v>479</v>
      </c>
    </row>
    <row r="5" spans="1:16">
      <c r="B5" t="s">
        <v>400</v>
      </c>
      <c r="C5" t="s">
        <v>120</v>
      </c>
      <c r="E5" s="2">
        <v>46142</v>
      </c>
      <c r="F5" s="3" t="s">
        <v>75</v>
      </c>
      <c r="H5" t="s">
        <v>480</v>
      </c>
      <c r="J5" t="s">
        <v>146</v>
      </c>
      <c r="L5" t="s">
        <v>481</v>
      </c>
      <c r="N5">
        <v>24</v>
      </c>
      <c r="P5" s="4" t="s">
        <v>482</v>
      </c>
    </row>
    <row r="6" spans="1:16">
      <c r="B6" t="s">
        <v>59</v>
      </c>
      <c r="C6" t="s">
        <v>161</v>
      </c>
      <c r="E6" s="2">
        <v>46173</v>
      </c>
      <c r="F6" t="s">
        <v>174</v>
      </c>
      <c r="L6" t="s">
        <v>483</v>
      </c>
      <c r="P6" t="s">
        <v>101</v>
      </c>
    </row>
    <row r="7" spans="1:16">
      <c r="B7" t="s">
        <v>85</v>
      </c>
      <c r="C7" t="s">
        <v>213</v>
      </c>
      <c r="E7" s="2">
        <v>46203</v>
      </c>
      <c r="F7" t="s">
        <v>212</v>
      </c>
      <c r="L7" t="s">
        <v>484</v>
      </c>
      <c r="P7" s="4" t="s">
        <v>485</v>
      </c>
    </row>
    <row r="8" spans="1:16">
      <c r="B8" t="s">
        <v>94</v>
      </c>
      <c r="C8" t="s">
        <v>278</v>
      </c>
      <c r="E8" s="2">
        <v>46234</v>
      </c>
      <c r="L8" t="s">
        <v>486</v>
      </c>
      <c r="P8" s="4" t="s">
        <v>487</v>
      </c>
    </row>
    <row r="9" spans="1:16">
      <c r="C9" t="s">
        <v>321</v>
      </c>
      <c r="E9" s="2">
        <v>46265</v>
      </c>
      <c r="L9" t="s">
        <v>105</v>
      </c>
      <c r="P9" t="s">
        <v>488</v>
      </c>
    </row>
    <row r="10" spans="1:16">
      <c r="C10" t="s">
        <v>305</v>
      </c>
      <c r="E10" s="2">
        <v>46295</v>
      </c>
    </row>
    <row r="11" spans="1:16">
      <c r="C11" t="s">
        <v>248</v>
      </c>
      <c r="E11" s="2">
        <v>46326</v>
      </c>
    </row>
    <row r="12" spans="1:16">
      <c r="C12" t="s">
        <v>187</v>
      </c>
      <c r="E12" s="2">
        <v>46356</v>
      </c>
    </row>
    <row r="13" spans="1:16">
      <c r="C13" t="s">
        <v>263</v>
      </c>
      <c r="E13" s="2">
        <v>46387</v>
      </c>
    </row>
    <row r="14" spans="1:16">
      <c r="C14" t="s">
        <v>418</v>
      </c>
    </row>
    <row r="15" spans="1:16">
      <c r="C15" t="s">
        <v>183</v>
      </c>
    </row>
    <row r="16" spans="1:16">
      <c r="A16" s="112" t="s">
        <v>489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</row>
    <row r="17" spans="1:14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</row>
    <row r="18" spans="1:14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</row>
    <row r="19" spans="1:14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</row>
    <row r="20" spans="1:14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</row>
  </sheetData>
  <mergeCells count="1">
    <mergeCell ref="A16:N20"/>
  </mergeCells>
  <dataValidations count="1">
    <dataValidation allowBlank="1" showInputMessage="1" showErrorMessage="1" sqref="D13:J14 A6:B15 C14:C15 C6:J12 A1:J5" xr:uid="{80BE2963-D8AE-49D0-AF38-0B13997ABE6B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8DA1A1E362649B654329CE9B45F21" ma:contentTypeVersion="14" ma:contentTypeDescription="Crée un document." ma:contentTypeScope="" ma:versionID="9a5d32aeab164b59c046fa2a856b3164">
  <xsd:schema xmlns:xsd="http://www.w3.org/2001/XMLSchema" xmlns:xs="http://www.w3.org/2001/XMLSchema" xmlns:p="http://schemas.microsoft.com/office/2006/metadata/properties" xmlns:ns2="c9c1e4d6-9a23-4b92-8e70-87c3036e047b" xmlns:ns3="a4d5f370-7891-4456-88ac-2c766424bdb1" targetNamespace="http://schemas.microsoft.com/office/2006/metadata/properties" ma:root="true" ma:fieldsID="aa7d30c208616bdcea8a09b06fd3bde2" ns2:_="" ns3:_="">
    <xsd:import namespace="c9c1e4d6-9a23-4b92-8e70-87c3036e047b"/>
    <xsd:import namespace="a4d5f370-7891-4456-88ac-2c766424b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1e4d6-9a23-4b92-8e70-87c3036e0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87b9488c-c107-4e62-a403-a2f5b37c59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5f370-7891-4456-88ac-2c766424b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93794cd-3b68-4bfe-b5d3-5568d074af02}" ma:internalName="TaxCatchAll" ma:showField="CatchAllData" ma:web="a4d5f370-7891-4456-88ac-2c766424b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5f370-7891-4456-88ac-2c766424bdb1" xsi:nil="true"/>
    <lcf76f155ced4ddcb4097134ff3c332f xmlns="c9c1e4d6-9a23-4b92-8e70-87c3036e04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4B783-5B4E-4CFC-B353-6974E628CE38}"/>
</file>

<file path=customXml/itemProps2.xml><?xml version="1.0" encoding="utf-8"?>
<ds:datastoreItem xmlns:ds="http://schemas.openxmlformats.org/officeDocument/2006/customXml" ds:itemID="{0783413C-79BC-461C-B463-688B76CFB38F}"/>
</file>

<file path=customXml/itemProps3.xml><?xml version="1.0" encoding="utf-8"?>
<ds:datastoreItem xmlns:ds="http://schemas.openxmlformats.org/officeDocument/2006/customXml" ds:itemID="{1977C60F-4F3B-4A66-ADFE-CFCE7F269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2024-09-12T09:44:34Z</dcterms:created>
  <dcterms:modified xsi:type="dcterms:W3CDTF">2026-03-04T20:57:16Z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0x01010027B8DA1A1E362649B654329CE9B45F21</vt:lpwstr>
  </property>
  <property fmtid="{D5CDD505-2E9C-101B-9397-08002B2CF9AE}" pid="3" name="MediaServiceImageTags">
    <vt:lpwstr/>
  </property>
</Properties>
</file>